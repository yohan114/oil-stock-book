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8.200\Yohan\"/>
    </mc:Choice>
  </mc:AlternateContent>
  <bookViews>
    <workbookView xWindow="0" yWindow="0" windowWidth="19200" windowHeight="11595" tabRatio="604" firstSheet="17" activeTab="21"/>
  </bookViews>
  <sheets>
    <sheet name="Summery" sheetId="18" r:id="rId1"/>
    <sheet name="15W40(CI-04)Valvoline" sheetId="1" r:id="rId2"/>
    <sheet name="15W40(servo)" sheetId="2" r:id="rId3"/>
    <sheet name="15W40(Delogold)" sheetId="3" r:id="rId4"/>
    <sheet name="DS-10 Oil" sheetId="11" r:id="rId5"/>
    <sheet name="Chart1" sheetId="24" r:id="rId6"/>
    <sheet name="20W-50" sheetId="12" r:id="rId7"/>
    <sheet name="SAE-30" sheetId="4" r:id="rId8"/>
    <sheet name="HD-68 Hy-Oil Caltex" sheetId="5" r:id="rId9"/>
    <sheet name="SERVO-68 HY-OIL" sheetId="19" r:id="rId10"/>
    <sheet name="HD-46 Hy-Oil-Caltex" sheetId="6" r:id="rId11"/>
    <sheet name="HD-46 Hy Oil SERVO" sheetId="17" r:id="rId12"/>
    <sheet name="Power Oil-1888" sheetId="7" r:id="rId13"/>
    <sheet name="MP-90 Gear Oil" sheetId="8" r:id="rId14"/>
    <sheet name="80W90 (Caltex)" sheetId="9" r:id="rId15"/>
    <sheet name="80W90 G-Oil (Servo)" sheetId="22" r:id="rId16"/>
    <sheet name="MP-140 G-Oil" sheetId="10" r:id="rId17"/>
    <sheet name="Grease" sheetId="13" r:id="rId18"/>
    <sheet name="K-Oil" sheetId="14" r:id="rId19"/>
    <sheet name="PETROL" sheetId="28" r:id="rId20"/>
    <sheet name="HUB GREASE" sheetId="15" r:id="rId21"/>
    <sheet name="cotten waste" sheetId="16" r:id="rId22"/>
    <sheet name="Sheet1" sheetId="20" r:id="rId23"/>
    <sheet name="Sheet2" sheetId="21" r:id="rId24"/>
    <sheet name="Sheet3" sheetId="23" r:id="rId25"/>
  </sheets>
  <definedNames>
    <definedName name="_xlnm._FilterDatabase" localSheetId="1" hidden="1">'15W40(CI-04)Valvoline'!$A$6:$H$254</definedName>
    <definedName name="_xlnm._FilterDatabase" localSheetId="2" hidden="1">'15W40(servo)'!$A$6:$H$50</definedName>
    <definedName name="_xlnm._FilterDatabase" localSheetId="14" hidden="1">'80W90 (Caltex)'!$A$6:$H$84</definedName>
    <definedName name="_xlnm._FilterDatabase" localSheetId="17" hidden="1">Grease!$A$6:$H$169</definedName>
    <definedName name="_xlnm._FilterDatabase" localSheetId="8" hidden="1">'HD-68 Hy-Oil Caltex'!$A$6:$H$296</definedName>
    <definedName name="_xlnm._FilterDatabase" localSheetId="18" hidden="1">'K-Oil'!$A$6:$H$131</definedName>
    <definedName name="_xlnm._FilterDatabase" localSheetId="16" hidden="1">'MP-140 G-Oil'!$A$6:$H$44</definedName>
    <definedName name="_xlnm._FilterDatabase" localSheetId="13" hidden="1">'MP-90 Gear Oil'!$A$6:$H$94</definedName>
    <definedName name="_xlnm._FilterDatabase" localSheetId="19" hidden="1">PETROL!$A$6:$H$39</definedName>
    <definedName name="_xlnm._FilterDatabase" localSheetId="12" hidden="1">'Power Oil-1888'!$A$6:$H$96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5" i="5" l="1"/>
  <c r="G306" i="5" s="1"/>
  <c r="G307" i="5" s="1"/>
  <c r="G308" i="5" s="1"/>
  <c r="G309" i="5" s="1"/>
  <c r="G310" i="5" s="1"/>
  <c r="G311" i="5" s="1"/>
  <c r="G312" i="5" s="1"/>
  <c r="G320" i="14"/>
  <c r="G321" i="14" s="1"/>
  <c r="G322" i="14" s="1"/>
  <c r="G323" i="14" s="1"/>
  <c r="G324" i="14" s="1"/>
  <c r="D21" i="18" l="1"/>
  <c r="D18" i="18"/>
  <c r="D16" i="18"/>
  <c r="G111" i="9"/>
  <c r="G112" i="9" s="1"/>
  <c r="G113" i="9" s="1"/>
  <c r="G114" i="9" s="1"/>
  <c r="G115" i="9" s="1"/>
  <c r="D15" i="18"/>
  <c r="D14" i="18"/>
  <c r="G102" i="7"/>
  <c r="G103" i="7" s="1"/>
  <c r="G104" i="7" s="1"/>
  <c r="G105" i="7" s="1"/>
  <c r="G106" i="7" s="1"/>
  <c r="G107" i="7" s="1"/>
  <c r="G108" i="7" s="1"/>
  <c r="G109" i="7" s="1"/>
  <c r="G110" i="7" s="1"/>
  <c r="D13" i="18"/>
  <c r="D12" i="18"/>
  <c r="D11" i="18"/>
  <c r="M8" i="18"/>
  <c r="D9" i="18"/>
  <c r="G33" i="4"/>
  <c r="G34" i="4" s="1"/>
  <c r="G35" i="4" s="1"/>
  <c r="D8" i="18"/>
  <c r="G28" i="12"/>
  <c r="G29" i="12" s="1"/>
  <c r="G30" i="12" s="1"/>
  <c r="G31" i="12" s="1"/>
  <c r="G32" i="12" s="1"/>
  <c r="D7" i="18"/>
  <c r="G17" i="11"/>
  <c r="G18" i="11"/>
  <c r="G19" i="11"/>
  <c r="G20" i="1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D6" i="18"/>
  <c r="G17" i="3"/>
  <c r="G18" i="3"/>
  <c r="G19" i="3" s="1"/>
  <c r="G20" i="3" s="1"/>
  <c r="G21" i="3" s="1"/>
  <c r="G22" i="3" s="1"/>
  <c r="G23" i="3" s="1"/>
  <c r="G24" i="3" s="1"/>
  <c r="G25" i="3" s="1"/>
  <c r="G26" i="3" s="1"/>
  <c r="D5" i="18"/>
  <c r="G63" i="2"/>
  <c r="G64" i="2" s="1"/>
  <c r="G65" i="2" s="1"/>
  <c r="G66" i="2" s="1"/>
  <c r="G67" i="2" s="1"/>
  <c r="G68" i="2" s="1"/>
  <c r="G125" i="8" l="1"/>
  <c r="G126" i="8" s="1"/>
  <c r="G127" i="8" s="1"/>
  <c r="G21" i="16" l="1"/>
  <c r="G22" i="16" s="1"/>
  <c r="G103" i="9" l="1"/>
  <c r="G104" i="9" s="1"/>
  <c r="G105" i="9" s="1"/>
  <c r="G106" i="9" s="1"/>
  <c r="G107" i="9" s="1"/>
  <c r="G108" i="9" s="1"/>
  <c r="G109" i="9" s="1"/>
  <c r="G110" i="9" s="1"/>
  <c r="G8" i="28" l="1"/>
  <c r="G9" i="28" s="1"/>
  <c r="G10" i="28" s="1"/>
  <c r="G11" i="28" s="1"/>
  <c r="G12" i="28" s="1"/>
  <c r="G13" i="28" l="1"/>
  <c r="G7" i="15"/>
  <c r="I207" i="1"/>
  <c r="G14" i="28" l="1"/>
  <c r="G15" i="28" s="1"/>
  <c r="G16" i="28" s="1"/>
  <c r="G17" i="28" s="1"/>
  <c r="G18" i="28" s="1"/>
  <c r="G19" i="28" s="1"/>
  <c r="G20" i="28" s="1"/>
  <c r="G21" i="28" s="1"/>
  <c r="G22" i="28" s="1"/>
  <c r="G23" i="28" s="1"/>
  <c r="G24" i="28" s="1"/>
  <c r="G25" i="28" s="1"/>
  <c r="G26" i="28" s="1"/>
  <c r="G27" i="28" s="1"/>
  <c r="G28" i="28" s="1"/>
  <c r="G29" i="28" s="1"/>
  <c r="G30" i="28" s="1"/>
  <c r="G31" i="28" s="1"/>
  <c r="G32" i="28" s="1"/>
  <c r="G33" i="28" s="1"/>
  <c r="G34" i="28" s="1"/>
  <c r="G35" i="28" s="1"/>
  <c r="G36" i="28" s="1"/>
  <c r="G37" i="28" s="1"/>
  <c r="G38" i="28" s="1"/>
  <c r="G39" i="28" s="1"/>
  <c r="J259" i="5"/>
  <c r="E20" i="21" l="1"/>
  <c r="E21" i="21" s="1"/>
  <c r="E22" i="21" s="1"/>
  <c r="C25" i="21"/>
  <c r="C20" i="21"/>
  <c r="C27" i="21" l="1"/>
  <c r="C26" i="21"/>
  <c r="G8" i="16" l="1"/>
  <c r="G9" i="16" s="1"/>
  <c r="G10" i="16" s="1"/>
  <c r="G11" i="16" s="1"/>
  <c r="G12" i="16" s="1"/>
  <c r="G13" i="16" s="1"/>
  <c r="G14" i="16" s="1"/>
  <c r="G15" i="16" s="1"/>
  <c r="G16" i="16" s="1"/>
  <c r="G17" i="16" s="1"/>
  <c r="G18" i="16" s="1"/>
  <c r="G8" i="15"/>
  <c r="G9" i="15" s="1"/>
  <c r="G10" i="15" s="1"/>
  <c r="G11" i="15" s="1"/>
  <c r="G12" i="15" s="1"/>
  <c r="G13" i="15" s="1"/>
  <c r="G14" i="15" s="1"/>
  <c r="G15" i="15" s="1"/>
  <c r="G16" i="15" s="1"/>
  <c r="G17" i="15" s="1"/>
  <c r="G18" i="15" s="1"/>
  <c r="G19" i="15" s="1"/>
  <c r="G20" i="15" s="1"/>
  <c r="D22" i="18" s="1"/>
  <c r="G8" i="14"/>
  <c r="G9" i="14" s="1"/>
  <c r="G10" i="14" s="1"/>
  <c r="G11" i="14" s="1"/>
  <c r="G12" i="14" s="1"/>
  <c r="G13" i="14" s="1"/>
  <c r="G14" i="14" s="1"/>
  <c r="G15" i="14" s="1"/>
  <c r="G16" i="14" s="1"/>
  <c r="G17" i="14" s="1"/>
  <c r="G18" i="14" s="1"/>
  <c r="G19" i="14" s="1"/>
  <c r="G20" i="14" s="1"/>
  <c r="G21" i="14" s="1"/>
  <c r="G22" i="14" s="1"/>
  <c r="G23" i="14" s="1"/>
  <c r="G24" i="14" s="1"/>
  <c r="G25" i="14" s="1"/>
  <c r="G26" i="14" s="1"/>
  <c r="G27" i="14" s="1"/>
  <c r="G28" i="14" s="1"/>
  <c r="G29" i="14" s="1"/>
  <c r="G30" i="14" s="1"/>
  <c r="G31" i="14" s="1"/>
  <c r="G32" i="14" s="1"/>
  <c r="G33" i="14" s="1"/>
  <c r="G34" i="14" s="1"/>
  <c r="G35" i="14" s="1"/>
  <c r="G36" i="14" s="1"/>
  <c r="G37" i="14" s="1"/>
  <c r="G38" i="14" s="1"/>
  <c r="G39" i="14" s="1"/>
  <c r="G40" i="14" s="1"/>
  <c r="G41" i="14" s="1"/>
  <c r="G42" i="14" s="1"/>
  <c r="G43" i="14" s="1"/>
  <c r="G44" i="14" s="1"/>
  <c r="G45" i="14" s="1"/>
  <c r="G46" i="14" s="1"/>
  <c r="G47" i="14" s="1"/>
  <c r="G48" i="14" s="1"/>
  <c r="G49" i="14" s="1"/>
  <c r="G50" i="14" s="1"/>
  <c r="G51" i="14" s="1"/>
  <c r="G52" i="14" s="1"/>
  <c r="G53" i="14" s="1"/>
  <c r="G54" i="14" s="1"/>
  <c r="G55" i="14" s="1"/>
  <c r="G56" i="14" s="1"/>
  <c r="G57" i="14" s="1"/>
  <c r="G58" i="14" s="1"/>
  <c r="G59" i="14" s="1"/>
  <c r="G60" i="14" s="1"/>
  <c r="G61" i="14" s="1"/>
  <c r="G62" i="14" s="1"/>
  <c r="G63" i="14" s="1"/>
  <c r="G64" i="14" s="1"/>
  <c r="G65" i="14" s="1"/>
  <c r="G66" i="14" s="1"/>
  <c r="G67" i="14" s="1"/>
  <c r="G68" i="14" s="1"/>
  <c r="G69" i="14" s="1"/>
  <c r="G70" i="14" s="1"/>
  <c r="G71" i="14" s="1"/>
  <c r="G72" i="14" s="1"/>
  <c r="G73" i="14" s="1"/>
  <c r="G74" i="14" s="1"/>
  <c r="G75" i="14" s="1"/>
  <c r="G76" i="14" s="1"/>
  <c r="G77" i="14" s="1"/>
  <c r="G78" i="14" s="1"/>
  <c r="G79" i="14" s="1"/>
  <c r="G80" i="14" s="1"/>
  <c r="G81" i="14" s="1"/>
  <c r="G82" i="14" s="1"/>
  <c r="G83" i="14" s="1"/>
  <c r="G8" i="13"/>
  <c r="G9" i="13" s="1"/>
  <c r="G10" i="13" s="1"/>
  <c r="G11" i="13" s="1"/>
  <c r="G12" i="13" s="1"/>
  <c r="G13" i="13" s="1"/>
  <c r="G14" i="13" s="1"/>
  <c r="G15" i="13" s="1"/>
  <c r="G16" i="13" s="1"/>
  <c r="G17" i="13" s="1"/>
  <c r="G18" i="13" s="1"/>
  <c r="G19" i="13" s="1"/>
  <c r="G20" i="13" s="1"/>
  <c r="G21" i="13" s="1"/>
  <c r="G22" i="13" s="1"/>
  <c r="G23" i="13" s="1"/>
  <c r="G24" i="13" s="1"/>
  <c r="G25" i="13" s="1"/>
  <c r="G26" i="13" s="1"/>
  <c r="G27" i="13" s="1"/>
  <c r="G28" i="13" s="1"/>
  <c r="G29" i="13" s="1"/>
  <c r="G30" i="13" s="1"/>
  <c r="G31" i="13" s="1"/>
  <c r="G32" i="13" s="1"/>
  <c r="G33" i="13" s="1"/>
  <c r="G34" i="13" s="1"/>
  <c r="G35" i="13" s="1"/>
  <c r="G36" i="13" s="1"/>
  <c r="G37" i="13" s="1"/>
  <c r="G38" i="13" s="1"/>
  <c r="G39" i="13" s="1"/>
  <c r="G40" i="13" s="1"/>
  <c r="G41" i="13" s="1"/>
  <c r="G42" i="13" s="1"/>
  <c r="G43" i="13" s="1"/>
  <c r="G44" i="13" s="1"/>
  <c r="G45" i="13" s="1"/>
  <c r="G46" i="13" s="1"/>
  <c r="G47" i="13" s="1"/>
  <c r="G48" i="13" s="1"/>
  <c r="G49" i="13" s="1"/>
  <c r="G50" i="13" s="1"/>
  <c r="G51" i="13" s="1"/>
  <c r="G52" i="13" s="1"/>
  <c r="G53" i="13" s="1"/>
  <c r="G54" i="13" s="1"/>
  <c r="G55" i="13" s="1"/>
  <c r="G56" i="13" s="1"/>
  <c r="G57" i="13" s="1"/>
  <c r="G58" i="13" s="1"/>
  <c r="G59" i="13" s="1"/>
  <c r="G60" i="13" s="1"/>
  <c r="G61" i="13" s="1"/>
  <c r="G62" i="13" s="1"/>
  <c r="G63" i="13" s="1"/>
  <c r="G64" i="13" s="1"/>
  <c r="G65" i="13" s="1"/>
  <c r="G66" i="13" s="1"/>
  <c r="G67" i="13" s="1"/>
  <c r="G68" i="13" s="1"/>
  <c r="G69" i="13" s="1"/>
  <c r="G70" i="13" s="1"/>
  <c r="G71" i="13" s="1"/>
  <c r="G72" i="13" s="1"/>
  <c r="G73" i="13" s="1"/>
  <c r="G74" i="13" s="1"/>
  <c r="G75" i="13" s="1"/>
  <c r="G76" i="13" s="1"/>
  <c r="G77" i="13" s="1"/>
  <c r="G78" i="13" s="1"/>
  <c r="G79" i="13" s="1"/>
  <c r="G80" i="13" s="1"/>
  <c r="G81" i="13" s="1"/>
  <c r="G82" i="13" s="1"/>
  <c r="G83" i="13" s="1"/>
  <c r="G84" i="13" s="1"/>
  <c r="G85" i="13" s="1"/>
  <c r="G86" i="13" s="1"/>
  <c r="G87" i="13" s="1"/>
  <c r="G88" i="13" s="1"/>
  <c r="G89" i="13" s="1"/>
  <c r="G90" i="13" s="1"/>
  <c r="G91" i="13" s="1"/>
  <c r="G92" i="13" s="1"/>
  <c r="G8" i="10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G38" i="10" s="1"/>
  <c r="G39" i="10" s="1"/>
  <c r="G40" i="10" s="1"/>
  <c r="G41" i="10" s="1"/>
  <c r="G42" i="10" s="1"/>
  <c r="G43" i="10" s="1"/>
  <c r="G44" i="10" s="1"/>
  <c r="G8" i="22"/>
  <c r="G9" i="22" s="1"/>
  <c r="G10" i="22" s="1"/>
  <c r="G11" i="22" s="1"/>
  <c r="G12" i="22" s="1"/>
  <c r="G13" i="22" s="1"/>
  <c r="G14" i="22" s="1"/>
  <c r="G15" i="22" s="1"/>
  <c r="G16" i="22" s="1"/>
  <c r="G17" i="22" s="1"/>
  <c r="G18" i="22" s="1"/>
  <c r="G19" i="22" s="1"/>
  <c r="G20" i="22" s="1"/>
  <c r="G21" i="22" s="1"/>
  <c r="G22" i="22" s="1"/>
  <c r="G23" i="22" s="1"/>
  <c r="G24" i="22" s="1"/>
  <c r="G25" i="22" s="1"/>
  <c r="G26" i="22" s="1"/>
  <c r="G27" i="22" s="1"/>
  <c r="G28" i="22" s="1"/>
  <c r="G29" i="22" s="1"/>
  <c r="G30" i="22" s="1"/>
  <c r="G31" i="22" s="1"/>
  <c r="G32" i="22" s="1"/>
  <c r="G33" i="22" s="1"/>
  <c r="G34" i="22" s="1"/>
  <c r="G35" i="22" s="1"/>
  <c r="G36" i="22" s="1"/>
  <c r="G37" i="22" s="1"/>
  <c r="G38" i="22" s="1"/>
  <c r="G39" i="22" s="1"/>
  <c r="G40" i="22" s="1"/>
  <c r="G41" i="22" s="1"/>
  <c r="G42" i="22" s="1"/>
  <c r="G43" i="22" s="1"/>
  <c r="G44" i="22" s="1"/>
  <c r="G45" i="22" s="1"/>
  <c r="G46" i="22" s="1"/>
  <c r="G47" i="22" s="1"/>
  <c r="G48" i="22" s="1"/>
  <c r="G49" i="22" s="1"/>
  <c r="G50" i="22" s="1"/>
  <c r="G51" i="22" s="1"/>
  <c r="G52" i="22" s="1"/>
  <c r="G53" i="22" s="1"/>
  <c r="G54" i="22" s="1"/>
  <c r="G55" i="22" s="1"/>
  <c r="G56" i="22" s="1"/>
  <c r="G57" i="22" s="1"/>
  <c r="G58" i="22" s="1"/>
  <c r="G59" i="22" s="1"/>
  <c r="G60" i="22" s="1"/>
  <c r="G61" i="22" s="1"/>
  <c r="G62" i="22" s="1"/>
  <c r="D17" i="18" s="1"/>
  <c r="G7" i="22"/>
  <c r="G8" i="9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 s="1"/>
  <c r="G55" i="9" s="1"/>
  <c r="G56" i="9" s="1"/>
  <c r="G57" i="9" s="1"/>
  <c r="G58" i="9" s="1"/>
  <c r="G59" i="9" s="1"/>
  <c r="G60" i="9" s="1"/>
  <c r="G61" i="9" s="1"/>
  <c r="G62" i="9" s="1"/>
  <c r="G63" i="9" s="1"/>
  <c r="G64" i="9" s="1"/>
  <c r="G8" i="8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G38" i="8" s="1"/>
  <c r="G39" i="8" s="1"/>
  <c r="G40" i="8" s="1"/>
  <c r="G41" i="8" s="1"/>
  <c r="G42" i="8" s="1"/>
  <c r="G43" i="8" s="1"/>
  <c r="G44" i="8" s="1"/>
  <c r="G45" i="8" s="1"/>
  <c r="G46" i="8" s="1"/>
  <c r="G47" i="8" s="1"/>
  <c r="G48" i="8" s="1"/>
  <c r="G49" i="8" s="1"/>
  <c r="G50" i="8" s="1"/>
  <c r="G51" i="8" s="1"/>
  <c r="G52" i="8" s="1"/>
  <c r="G53" i="8" s="1"/>
  <c r="G54" i="8" s="1"/>
  <c r="G55" i="8" s="1"/>
  <c r="G56" i="8" s="1"/>
  <c r="G57" i="8" s="1"/>
  <c r="G58" i="8" s="1"/>
  <c r="G59" i="8" s="1"/>
  <c r="G60" i="8" s="1"/>
  <c r="G61" i="8" s="1"/>
  <c r="G62" i="8" s="1"/>
  <c r="G63" i="8" s="1"/>
  <c r="G64" i="8" s="1"/>
  <c r="G65" i="8" s="1"/>
  <c r="G66" i="8" s="1"/>
  <c r="G67" i="8" s="1"/>
  <c r="G68" i="8" s="1"/>
  <c r="G69" i="8" s="1"/>
  <c r="G70" i="8" s="1"/>
  <c r="G71" i="8" s="1"/>
  <c r="G8" i="7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38" i="7" s="1"/>
  <c r="G39" i="7" s="1"/>
  <c r="G40" i="7" s="1"/>
  <c r="G41" i="7" s="1"/>
  <c r="G42" i="7" s="1"/>
  <c r="G43" i="7" s="1"/>
  <c r="G44" i="7" s="1"/>
  <c r="G45" i="7" s="1"/>
  <c r="G46" i="7" s="1"/>
  <c r="G47" i="7" s="1"/>
  <c r="G48" i="7" s="1"/>
  <c r="G49" i="7" s="1"/>
  <c r="G50" i="7" s="1"/>
  <c r="G51" i="7" s="1"/>
  <c r="G52" i="7" s="1"/>
  <c r="G9" i="17"/>
  <c r="G10" i="17" s="1"/>
  <c r="G11" i="17" s="1"/>
  <c r="G12" i="17" s="1"/>
  <c r="G13" i="17" s="1"/>
  <c r="G14" i="17" s="1"/>
  <c r="G15" i="17" s="1"/>
  <c r="G16" i="17" s="1"/>
  <c r="G17" i="17" s="1"/>
  <c r="G18" i="17" s="1"/>
  <c r="G19" i="17" s="1"/>
  <c r="G20" i="17" s="1"/>
  <c r="G21" i="17" s="1"/>
  <c r="G22" i="17" s="1"/>
  <c r="G23" i="17" s="1"/>
  <c r="G24" i="17" s="1"/>
  <c r="G25" i="17" s="1"/>
  <c r="G26" i="17" s="1"/>
  <c r="G27" i="17" s="1"/>
  <c r="G28" i="17" s="1"/>
  <c r="G29" i="17" s="1"/>
  <c r="G30" i="17" s="1"/>
  <c r="G8" i="17"/>
  <c r="G8" i="6"/>
  <c r="G9" i="6" s="1"/>
  <c r="G10" i="6" s="1"/>
  <c r="G11" i="6" s="1"/>
  <c r="G12" i="6" s="1"/>
  <c r="G13" i="6" s="1"/>
  <c r="G14" i="6" s="1"/>
  <c r="G15" i="6" s="1"/>
  <c r="G16" i="6" s="1"/>
  <c r="G17" i="6" s="1"/>
  <c r="G7" i="6"/>
  <c r="G9" i="19"/>
  <c r="G10" i="19" s="1"/>
  <c r="G11" i="19" s="1"/>
  <c r="G12" i="19" s="1"/>
  <c r="G13" i="19" s="1"/>
  <c r="G14" i="19" s="1"/>
  <c r="G15" i="19" s="1"/>
  <c r="G16" i="19" s="1"/>
  <c r="G17" i="19" s="1"/>
  <c r="G18" i="19" s="1"/>
  <c r="G19" i="19" s="1"/>
  <c r="G20" i="19" s="1"/>
  <c r="G21" i="19" s="1"/>
  <c r="G22" i="19" s="1"/>
  <c r="G23" i="19" s="1"/>
  <c r="G24" i="19" s="1"/>
  <c r="G25" i="19" s="1"/>
  <c r="G26" i="19" s="1"/>
  <c r="G27" i="19" s="1"/>
  <c r="G28" i="19" s="1"/>
  <c r="G29" i="19" s="1"/>
  <c r="G30" i="19" s="1"/>
  <c r="G8" i="19"/>
  <c r="G8" i="5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G70" i="5" s="1"/>
  <c r="G71" i="5" s="1"/>
  <c r="G72" i="5" s="1"/>
  <c r="G73" i="5" s="1"/>
  <c r="G74" i="5" s="1"/>
  <c r="G75" i="5" s="1"/>
  <c r="G76" i="5" s="1"/>
  <c r="G77" i="5" s="1"/>
  <c r="G78" i="5" s="1"/>
  <c r="G79" i="5" s="1"/>
  <c r="G80" i="5" s="1"/>
  <c r="G81" i="5" s="1"/>
  <c r="G82" i="5" s="1"/>
  <c r="G83" i="5" s="1"/>
  <c r="G84" i="5" s="1"/>
  <c r="G85" i="5" s="1"/>
  <c r="G86" i="5" s="1"/>
  <c r="G87" i="5" s="1"/>
  <c r="G88" i="5" s="1"/>
  <c r="G89" i="5" s="1"/>
  <c r="G90" i="5" s="1"/>
  <c r="G91" i="5" s="1"/>
  <c r="G92" i="5" s="1"/>
  <c r="G93" i="5" s="1"/>
  <c r="G94" i="5" s="1"/>
  <c r="G95" i="5" s="1"/>
  <c r="G96" i="5" s="1"/>
  <c r="G97" i="5" s="1"/>
  <c r="G98" i="5" s="1"/>
  <c r="G99" i="5" s="1"/>
  <c r="G100" i="5" s="1"/>
  <c r="G101" i="5" s="1"/>
  <c r="G102" i="5" s="1"/>
  <c r="G103" i="5" s="1"/>
  <c r="G104" i="5" s="1"/>
  <c r="G105" i="5" s="1"/>
  <c r="G106" i="5" s="1"/>
  <c r="G107" i="5" s="1"/>
  <c r="G108" i="5" s="1"/>
  <c r="G109" i="5" s="1"/>
  <c r="G110" i="5" s="1"/>
  <c r="G111" i="5" s="1"/>
  <c r="G112" i="5" s="1"/>
  <c r="G113" i="5" s="1"/>
  <c r="G114" i="5" s="1"/>
  <c r="G115" i="5" s="1"/>
  <c r="G116" i="5" s="1"/>
  <c r="G117" i="5" s="1"/>
  <c r="G118" i="5" s="1"/>
  <c r="G119" i="5" s="1"/>
  <c r="G120" i="5" s="1"/>
  <c r="G121" i="5" s="1"/>
  <c r="G122" i="5" s="1"/>
  <c r="G123" i="5" s="1"/>
  <c r="G124" i="5" s="1"/>
  <c r="G125" i="5" s="1"/>
  <c r="G126" i="5" s="1"/>
  <c r="G127" i="5" s="1"/>
  <c r="G128" i="5" s="1"/>
  <c r="G129" i="5" s="1"/>
  <c r="G130" i="5" s="1"/>
  <c r="G131" i="5" s="1"/>
  <c r="G132" i="5" s="1"/>
  <c r="G133" i="5" s="1"/>
  <c r="G134" i="5" s="1"/>
  <c r="G135" i="5" s="1"/>
  <c r="G136" i="5" s="1"/>
  <c r="G137" i="5" s="1"/>
  <c r="G138" i="5" s="1"/>
  <c r="G139" i="5" s="1"/>
  <c r="G140" i="5" s="1"/>
  <c r="G141" i="5" s="1"/>
  <c r="G142" i="5" s="1"/>
  <c r="G143" i="5" s="1"/>
  <c r="G144" i="5" s="1"/>
  <c r="G145" i="5" s="1"/>
  <c r="G146" i="5" s="1"/>
  <c r="G147" i="5" s="1"/>
  <c r="G148" i="5" s="1"/>
  <c r="G149" i="5" s="1"/>
  <c r="G150" i="5" s="1"/>
  <c r="G151" i="5" s="1"/>
  <c r="G152" i="5" s="1"/>
  <c r="G153" i="5" s="1"/>
  <c r="G154" i="5" s="1"/>
  <c r="G155" i="5" s="1"/>
  <c r="G156" i="5" s="1"/>
  <c r="G157" i="5" s="1"/>
  <c r="G158" i="5" s="1"/>
  <c r="G159" i="5" s="1"/>
  <c r="G160" i="5" s="1"/>
  <c r="G161" i="5" s="1"/>
  <c r="G162" i="5" s="1"/>
  <c r="G163" i="5" s="1"/>
  <c r="G164" i="5" s="1"/>
  <c r="G9" i="4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8" i="4"/>
  <c r="G8" i="12"/>
  <c r="G9" i="12" s="1"/>
  <c r="G10" i="12" s="1"/>
  <c r="G11" i="12" s="1"/>
  <c r="G12" i="12" s="1"/>
  <c r="G13" i="12" s="1"/>
  <c r="G14" i="12" s="1"/>
  <c r="G15" i="12" s="1"/>
  <c r="G16" i="12" s="1"/>
  <c r="G9" i="11"/>
  <c r="G10" i="11" s="1"/>
  <c r="G11" i="11" s="1"/>
  <c r="G12" i="11" s="1"/>
  <c r="G13" i="11" s="1"/>
  <c r="G14" i="11" s="1"/>
  <c r="G15" i="11" s="1"/>
  <c r="G16" i="11" s="1"/>
  <c r="G8" i="11"/>
  <c r="G8" i="3"/>
  <c r="G9" i="3" s="1"/>
  <c r="G10" i="3" s="1"/>
  <c r="G11" i="3" s="1"/>
  <c r="G12" i="3" s="1"/>
  <c r="G13" i="3" s="1"/>
  <c r="G14" i="3" s="1"/>
  <c r="G15" i="3" s="1"/>
  <c r="G16" i="3" s="1"/>
  <c r="G7" i="2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I63" i="1"/>
  <c r="G8" i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19" i="16" l="1"/>
  <c r="G20" i="16" s="1"/>
  <c r="G23" i="16" s="1"/>
  <c r="G24" i="16" s="1"/>
  <c r="G25" i="16" s="1"/>
  <c r="G26" i="16" s="1"/>
  <c r="G27" i="16" s="1"/>
  <c r="G28" i="16" s="1"/>
  <c r="G29" i="16" s="1"/>
  <c r="G30" i="16" s="1"/>
  <c r="G31" i="16" s="1"/>
  <c r="G32" i="16" s="1"/>
  <c r="G33" i="16" s="1"/>
  <c r="G34" i="16" s="1"/>
  <c r="G35" i="16" s="1"/>
  <c r="G36" i="16" s="1"/>
  <c r="G37" i="16" s="1"/>
  <c r="G84" i="14"/>
  <c r="G85" i="14" s="1"/>
  <c r="G86" i="14" s="1"/>
  <c r="G87" i="14" s="1"/>
  <c r="G88" i="14" s="1"/>
  <c r="G89" i="14" s="1"/>
  <c r="G90" i="14" s="1"/>
  <c r="G91" i="14" s="1"/>
  <c r="G92" i="14" s="1"/>
  <c r="G93" i="14" s="1"/>
  <c r="G94" i="14" s="1"/>
  <c r="G95" i="14" s="1"/>
  <c r="G96" i="14" s="1"/>
  <c r="G97" i="14" s="1"/>
  <c r="G98" i="14" s="1"/>
  <c r="G99" i="14" s="1"/>
  <c r="G100" i="14" s="1"/>
  <c r="G101" i="14" s="1"/>
  <c r="G102" i="14" s="1"/>
  <c r="G103" i="14" s="1"/>
  <c r="G104" i="14" s="1"/>
  <c r="G105" i="14" s="1"/>
  <c r="G106" i="14" s="1"/>
  <c r="G107" i="14" s="1"/>
  <c r="G108" i="14" s="1"/>
  <c r="G109" i="14" s="1"/>
  <c r="G110" i="14" s="1"/>
  <c r="G18" i="6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45" i="10"/>
  <c r="G46" i="10" s="1"/>
  <c r="G47" i="10" s="1"/>
  <c r="G48" i="10" s="1"/>
  <c r="G49" i="10" s="1"/>
  <c r="G50" i="10" s="1"/>
  <c r="G51" i="10" s="1"/>
  <c r="G52" i="10" s="1"/>
  <c r="G53" i="10" s="1"/>
  <c r="G54" i="10" s="1"/>
  <c r="G55" i="10" s="1"/>
  <c r="G56" i="10" s="1"/>
  <c r="G57" i="10" s="1"/>
  <c r="G58" i="10" s="1"/>
  <c r="G59" i="10" s="1"/>
  <c r="G60" i="10" s="1"/>
  <c r="G61" i="10" s="1"/>
  <c r="G62" i="10" s="1"/>
  <c r="G93" i="13"/>
  <c r="G94" i="13" s="1"/>
  <c r="G95" i="13" s="1"/>
  <c r="G96" i="13" s="1"/>
  <c r="G97" i="13" s="1"/>
  <c r="G98" i="13" s="1"/>
  <c r="G99" i="13" s="1"/>
  <c r="G100" i="13" s="1"/>
  <c r="G101" i="13" s="1"/>
  <c r="G102" i="13" s="1"/>
  <c r="G103" i="13" s="1"/>
  <c r="G104" i="13" s="1"/>
  <c r="G105" i="13" s="1"/>
  <c r="G106" i="13" s="1"/>
  <c r="G107" i="13" s="1"/>
  <c r="G108" i="13" s="1"/>
  <c r="G109" i="13" s="1"/>
  <c r="G110" i="13" s="1"/>
  <c r="G111" i="13" s="1"/>
  <c r="G112" i="13" s="1"/>
  <c r="G113" i="13" s="1"/>
  <c r="G114" i="13" s="1"/>
  <c r="G115" i="13" s="1"/>
  <c r="G116" i="13" s="1"/>
  <c r="G117" i="13" s="1"/>
  <c r="G118" i="13" s="1"/>
  <c r="G119" i="13" s="1"/>
  <c r="G120" i="13" s="1"/>
  <c r="G121" i="13" s="1"/>
  <c r="G122" i="13" s="1"/>
  <c r="G123" i="13" s="1"/>
  <c r="G124" i="13" s="1"/>
  <c r="G65" i="9"/>
  <c r="G66" i="9" s="1"/>
  <c r="G67" i="9" s="1"/>
  <c r="G68" i="9" s="1"/>
  <c r="G69" i="9" s="1"/>
  <c r="G70" i="9" s="1"/>
  <c r="G71" i="9" s="1"/>
  <c r="G72" i="9" s="1"/>
  <c r="G73" i="9" s="1"/>
  <c r="G74" i="9" s="1"/>
  <c r="G75" i="9" s="1"/>
  <c r="G76" i="9" s="1"/>
  <c r="G77" i="9" s="1"/>
  <c r="G78" i="9" s="1"/>
  <c r="G79" i="9" s="1"/>
  <c r="G80" i="9" s="1"/>
  <c r="G81" i="9" s="1"/>
  <c r="G82" i="9" s="1"/>
  <c r="G83" i="9" s="1"/>
  <c r="G84" i="9" s="1"/>
  <c r="G40" i="2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9" i="2" s="1"/>
  <c r="G70" i="2" s="1"/>
  <c r="G71" i="2" s="1"/>
  <c r="G72" i="2" s="1"/>
  <c r="G73" i="2" s="1"/>
  <c r="G74" i="2" s="1"/>
  <c r="G75" i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165" i="5"/>
  <c r="G166" i="5" s="1"/>
  <c r="G167" i="5" s="1"/>
  <c r="G168" i="5" s="1"/>
  <c r="G169" i="5" s="1"/>
  <c r="G170" i="5" s="1"/>
  <c r="G171" i="5" s="1"/>
  <c r="G172" i="5" s="1"/>
  <c r="G173" i="5" s="1"/>
  <c r="G174" i="5" s="1"/>
  <c r="G175" i="5" s="1"/>
  <c r="G176" i="5" s="1"/>
  <c r="G177" i="5" s="1"/>
  <c r="G178" i="5" s="1"/>
  <c r="G179" i="5" s="1"/>
  <c r="G180" i="5" s="1"/>
  <c r="G181" i="5" s="1"/>
  <c r="G182" i="5" s="1"/>
  <c r="G183" i="5" s="1"/>
  <c r="G184" i="5" s="1"/>
  <c r="G185" i="5" s="1"/>
  <c r="G186" i="5" s="1"/>
  <c r="G187" i="5" s="1"/>
  <c r="G188" i="5" s="1"/>
  <c r="G189" i="5" s="1"/>
  <c r="G190" i="5" s="1"/>
  <c r="G191" i="5" s="1"/>
  <c r="G192" i="5" s="1"/>
  <c r="G193" i="5" s="1"/>
  <c r="G194" i="5" s="1"/>
  <c r="G195" i="5" s="1"/>
  <c r="G196" i="5" s="1"/>
  <c r="G197" i="5" s="1"/>
  <c r="G198" i="5" s="1"/>
  <c r="G199" i="5" s="1"/>
  <c r="G200" i="5" s="1"/>
  <c r="G201" i="5" s="1"/>
  <c r="G202" i="5" s="1"/>
  <c r="G203" i="5" s="1"/>
  <c r="G204" i="5" s="1"/>
  <c r="G205" i="5" s="1"/>
  <c r="G206" i="5" s="1"/>
  <c r="G207" i="5" s="1"/>
  <c r="G208" i="5" s="1"/>
  <c r="G209" i="5" s="1"/>
  <c r="G72" i="8"/>
  <c r="G73" i="8" s="1"/>
  <c r="G74" i="8" s="1"/>
  <c r="G75" i="8" s="1"/>
  <c r="G76" i="8" s="1"/>
  <c r="G77" i="8" s="1"/>
  <c r="G78" i="8" s="1"/>
  <c r="G79" i="8" s="1"/>
  <c r="G80" i="8" s="1"/>
  <c r="G81" i="8" s="1"/>
  <c r="G82" i="8" s="1"/>
  <c r="G83" i="8" s="1"/>
  <c r="G84" i="8" s="1"/>
  <c r="G85" i="8" s="1"/>
  <c r="G86" i="8" s="1"/>
  <c r="G87" i="8" s="1"/>
  <c r="G88" i="8" s="1"/>
  <c r="G89" i="8" s="1"/>
  <c r="G90" i="8" s="1"/>
  <c r="G91" i="8" s="1"/>
  <c r="G92" i="8" s="1"/>
  <c r="G93" i="8" s="1"/>
  <c r="G94" i="8" s="1"/>
  <c r="G95" i="8" s="1"/>
  <c r="G96" i="8" s="1"/>
  <c r="G97" i="8" s="1"/>
  <c r="G98" i="8" s="1"/>
  <c r="G99" i="8" s="1"/>
  <c r="G100" i="8" s="1"/>
  <c r="G101" i="8" s="1"/>
  <c r="G102" i="8" s="1"/>
  <c r="G103" i="8" s="1"/>
  <c r="G104" i="8" s="1"/>
  <c r="G105" i="8" s="1"/>
  <c r="G106" i="8" s="1"/>
  <c r="G107" i="8" s="1"/>
  <c r="G108" i="8" s="1"/>
  <c r="G109" i="8" s="1"/>
  <c r="G110" i="8" s="1"/>
  <c r="G111" i="8" s="1"/>
  <c r="G112" i="8" s="1"/>
  <c r="G113" i="8" s="1"/>
  <c r="G114" i="8" s="1"/>
  <c r="G115" i="8" s="1"/>
  <c r="G116" i="8" s="1"/>
  <c r="G117" i="8" s="1"/>
  <c r="G118" i="8" s="1"/>
  <c r="G119" i="8" s="1"/>
  <c r="G120" i="8" s="1"/>
  <c r="G121" i="8" s="1"/>
  <c r="G122" i="8" s="1"/>
  <c r="G123" i="8" s="1"/>
  <c r="G53" i="7"/>
  <c r="G54" i="7" s="1"/>
  <c r="G55" i="7" s="1"/>
  <c r="G56" i="7" s="1"/>
  <c r="G57" i="7" s="1"/>
  <c r="G58" i="7" s="1"/>
  <c r="G59" i="7" s="1"/>
  <c r="G60" i="7" s="1"/>
  <c r="G61" i="7" s="1"/>
  <c r="G62" i="7" s="1"/>
  <c r="G63" i="7" s="1"/>
  <c r="G64" i="7" s="1"/>
  <c r="G65" i="7" s="1"/>
  <c r="G66" i="7" s="1"/>
  <c r="G67" i="7" s="1"/>
  <c r="G68" i="7" s="1"/>
  <c r="G69" i="7" s="1"/>
  <c r="G70" i="7" s="1"/>
  <c r="G71" i="7" s="1"/>
  <c r="G72" i="7" s="1"/>
  <c r="G73" i="7" s="1"/>
  <c r="G74" i="7" s="1"/>
  <c r="G75" i="7" s="1"/>
  <c r="G76" i="7" s="1"/>
  <c r="G77" i="7" s="1"/>
  <c r="G78" i="7" s="1"/>
  <c r="G79" i="7" s="1"/>
  <c r="G80" i="7" s="1"/>
  <c r="G81" i="7" s="1"/>
  <c r="G82" i="7" s="1"/>
  <c r="G83" i="7" s="1"/>
  <c r="G84" i="7" s="1"/>
  <c r="G85" i="7" s="1"/>
  <c r="G86" i="7" s="1"/>
  <c r="G87" i="7" s="1"/>
  <c r="G88" i="7" s="1"/>
  <c r="G89" i="7" s="1"/>
  <c r="G90" i="7" s="1"/>
  <c r="G91" i="7" s="1"/>
  <c r="G17" i="12"/>
  <c r="G18" i="12" s="1"/>
  <c r="G19" i="12" s="1"/>
  <c r="G20" i="12" s="1"/>
  <c r="G21" i="12" s="1"/>
  <c r="G22" i="12" s="1"/>
  <c r="G23" i="12" s="1"/>
  <c r="G24" i="12" s="1"/>
  <c r="G25" i="12" s="1"/>
  <c r="G26" i="12" s="1"/>
  <c r="G27" i="12" s="1"/>
  <c r="G111" i="14" l="1"/>
  <c r="G112" i="14" s="1"/>
  <c r="G113" i="14" s="1"/>
  <c r="G114" i="14" s="1"/>
  <c r="G115" i="14" s="1"/>
  <c r="G124" i="8"/>
  <c r="G128" i="8" s="1"/>
  <c r="G129" i="8" s="1"/>
  <c r="G130" i="8" s="1"/>
  <c r="G131" i="8" s="1"/>
  <c r="G132" i="8" s="1"/>
  <c r="G133" i="8" s="1"/>
  <c r="G134" i="8" s="1"/>
  <c r="G135" i="8" s="1"/>
  <c r="G136" i="8" s="1"/>
  <c r="G137" i="8" s="1"/>
  <c r="G92" i="7"/>
  <c r="G93" i="7" s="1"/>
  <c r="G94" i="7" s="1"/>
  <c r="G95" i="7" s="1"/>
  <c r="G96" i="7" s="1"/>
  <c r="G97" i="7" s="1"/>
  <c r="G98" i="7" s="1"/>
  <c r="G99" i="7" s="1"/>
  <c r="G100" i="7" s="1"/>
  <c r="G101" i="7" s="1"/>
  <c r="G125" i="13"/>
  <c r="G126" i="13" s="1"/>
  <c r="G127" i="13" s="1"/>
  <c r="G128" i="13" s="1"/>
  <c r="G129" i="13" s="1"/>
  <c r="G130" i="13" s="1"/>
  <c r="G131" i="13" s="1"/>
  <c r="G85" i="9"/>
  <c r="G86" i="9" s="1"/>
  <c r="G87" i="9" s="1"/>
  <c r="G88" i="9" s="1"/>
  <c r="G89" i="9" s="1"/>
  <c r="G90" i="9" s="1"/>
  <c r="G87" i="1"/>
  <c r="G88" i="1" s="1"/>
  <c r="G89" i="1" s="1"/>
  <c r="G210" i="5"/>
  <c r="G211" i="5" s="1"/>
  <c r="G212" i="5" s="1"/>
  <c r="G213" i="5" s="1"/>
  <c r="G214" i="5" s="1"/>
  <c r="G215" i="5" s="1"/>
  <c r="G216" i="5" s="1"/>
  <c r="G217" i="5" s="1"/>
  <c r="G218" i="5" s="1"/>
  <c r="G219" i="5" s="1"/>
  <c r="G220" i="5" s="1"/>
  <c r="G221" i="5" s="1"/>
  <c r="G222" i="5" s="1"/>
  <c r="G223" i="5" s="1"/>
  <c r="G224" i="5" s="1"/>
  <c r="G225" i="5" s="1"/>
  <c r="G116" i="14" l="1"/>
  <c r="G117" i="14" s="1"/>
  <c r="G118" i="14" s="1"/>
  <c r="G119" i="14" s="1"/>
  <c r="G120" i="14" s="1"/>
  <c r="G121" i="14" s="1"/>
  <c r="G122" i="14" s="1"/>
  <c r="G123" i="14" s="1"/>
  <c r="G91" i="9"/>
  <c r="G92" i="9" s="1"/>
  <c r="G93" i="9" s="1"/>
  <c r="G94" i="9" s="1"/>
  <c r="G95" i="9" s="1"/>
  <c r="G96" i="9" s="1"/>
  <c r="G97" i="9" s="1"/>
  <c r="G98" i="9" s="1"/>
  <c r="G99" i="9" s="1"/>
  <c r="G100" i="9" s="1"/>
  <c r="G101" i="9" s="1"/>
  <c r="G102" i="9" s="1"/>
  <c r="G132" i="13"/>
  <c r="G133" i="13" s="1"/>
  <c r="G134" i="13" s="1"/>
  <c r="G135" i="13" s="1"/>
  <c r="G136" i="13" s="1"/>
  <c r="G226" i="5"/>
  <c r="G227" i="5" s="1"/>
  <c r="G90" i="1"/>
  <c r="G91" i="1" s="1"/>
  <c r="G92" i="1" s="1"/>
  <c r="G93" i="1" s="1"/>
  <c r="G94" i="1" s="1"/>
  <c r="G95" i="1" s="1"/>
  <c r="G96" i="1" s="1"/>
  <c r="G124" i="14" l="1"/>
  <c r="G125" i="14" s="1"/>
  <c r="G126" i="14" s="1"/>
  <c r="G127" i="14" s="1"/>
  <c r="G128" i="14" s="1"/>
  <c r="G129" i="14" s="1"/>
  <c r="G130" i="14" s="1"/>
  <c r="G131" i="14" s="1"/>
  <c r="G132" i="14" s="1"/>
  <c r="G133" i="14" s="1"/>
  <c r="G134" i="14" s="1"/>
  <c r="G135" i="14" s="1"/>
  <c r="G136" i="14" s="1"/>
  <c r="G137" i="14" s="1"/>
  <c r="G138" i="14" s="1"/>
  <c r="G139" i="14" s="1"/>
  <c r="G140" i="14" s="1"/>
  <c r="G141" i="14" s="1"/>
  <c r="G142" i="14" s="1"/>
  <c r="G143" i="14" s="1"/>
  <c r="G144" i="14" s="1"/>
  <c r="G145" i="14" s="1"/>
  <c r="G146" i="14" s="1"/>
  <c r="G147" i="14" s="1"/>
  <c r="G148" i="14" s="1"/>
  <c r="G149" i="14" s="1"/>
  <c r="G150" i="14" s="1"/>
  <c r="G151" i="14" s="1"/>
  <c r="G152" i="14" s="1"/>
  <c r="G153" i="14" s="1"/>
  <c r="G154" i="14" s="1"/>
  <c r="G155" i="14" s="1"/>
  <c r="G156" i="14" s="1"/>
  <c r="G157" i="14" s="1"/>
  <c r="G158" i="14" s="1"/>
  <c r="G159" i="14" s="1"/>
  <c r="G160" i="14" s="1"/>
  <c r="G161" i="14" s="1"/>
  <c r="G162" i="14" s="1"/>
  <c r="G163" i="14" s="1"/>
  <c r="G164" i="14" s="1"/>
  <c r="G165" i="14" s="1"/>
  <c r="G166" i="14" s="1"/>
  <c r="G167" i="14" s="1"/>
  <c r="G168" i="14" s="1"/>
  <c r="G169" i="14" s="1"/>
  <c r="G170" i="14" s="1"/>
  <c r="G171" i="14" s="1"/>
  <c r="G172" i="14" s="1"/>
  <c r="G173" i="14" s="1"/>
  <c r="G174" i="14" s="1"/>
  <c r="G175" i="14" s="1"/>
  <c r="G176" i="14" s="1"/>
  <c r="G177" i="14" s="1"/>
  <c r="G178" i="14" s="1"/>
  <c r="G137" i="13"/>
  <c r="G138" i="13" s="1"/>
  <c r="G139" i="13" s="1"/>
  <c r="G140" i="13" s="1"/>
  <c r="G141" i="13" s="1"/>
  <c r="G142" i="13" s="1"/>
  <c r="G143" i="13" s="1"/>
  <c r="G144" i="13" s="1"/>
  <c r="G145" i="13" s="1"/>
  <c r="G146" i="13" s="1"/>
  <c r="G147" i="13" s="1"/>
  <c r="G148" i="13" s="1"/>
  <c r="G149" i="13" s="1"/>
  <c r="G150" i="13" s="1"/>
  <c r="G151" i="13" s="1"/>
  <c r="G152" i="13" s="1"/>
  <c r="G153" i="13" s="1"/>
  <c r="G154" i="13" s="1"/>
  <c r="G155" i="13" s="1"/>
  <c r="G156" i="13" s="1"/>
  <c r="G157" i="13" s="1"/>
  <c r="G158" i="13" s="1"/>
  <c r="G159" i="13" s="1"/>
  <c r="G160" i="13" s="1"/>
  <c r="G161" i="13" s="1"/>
  <c r="G162" i="13" s="1"/>
  <c r="G163" i="13" s="1"/>
  <c r="G164" i="13" s="1"/>
  <c r="G165" i="13" s="1"/>
  <c r="G166" i="13" s="1"/>
  <c r="G167" i="13" s="1"/>
  <c r="G168" i="13" s="1"/>
  <c r="G169" i="13" s="1"/>
  <c r="G228" i="5"/>
  <c r="G229" i="5" s="1"/>
  <c r="G230" i="5" s="1"/>
  <c r="G231" i="5" s="1"/>
  <c r="G232" i="5" s="1"/>
  <c r="G233" i="5" s="1"/>
  <c r="G234" i="5" s="1"/>
  <c r="G235" i="5" s="1"/>
  <c r="G236" i="5" s="1"/>
  <c r="G237" i="5" s="1"/>
  <c r="G238" i="5" s="1"/>
  <c r="G239" i="5" s="1"/>
  <c r="G240" i="5" s="1"/>
  <c r="G241" i="5" s="1"/>
  <c r="G242" i="5" s="1"/>
  <c r="G243" i="5" s="1"/>
  <c r="G244" i="5" s="1"/>
  <c r="G245" i="5" s="1"/>
  <c r="G246" i="5" s="1"/>
  <c r="G247" i="5" s="1"/>
  <c r="G248" i="5" s="1"/>
  <c r="G97" i="1"/>
  <c r="G98" i="1" s="1"/>
  <c r="G99" i="1" s="1"/>
  <c r="G100" i="1" s="1"/>
  <c r="G170" i="13" l="1"/>
  <c r="G171" i="13" s="1"/>
  <c r="G172" i="13" s="1"/>
  <c r="G173" i="13" s="1"/>
  <c r="G174" i="13" s="1"/>
  <c r="G175" i="13" s="1"/>
  <c r="G176" i="13" s="1"/>
  <c r="G177" i="13" s="1"/>
  <c r="G178" i="13" s="1"/>
  <c r="G179" i="13" s="1"/>
  <c r="G180" i="13" s="1"/>
  <c r="G181" i="13" s="1"/>
  <c r="G182" i="13" s="1"/>
  <c r="G183" i="13" s="1"/>
  <c r="G184" i="13" s="1"/>
  <c r="G185" i="13" s="1"/>
  <c r="G186" i="13" s="1"/>
  <c r="G187" i="13" s="1"/>
  <c r="G188" i="13" s="1"/>
  <c r="G189" i="13" s="1"/>
  <c r="G190" i="13" s="1"/>
  <c r="G191" i="13" s="1"/>
  <c r="G192" i="13" s="1"/>
  <c r="G193" i="13" s="1"/>
  <c r="G194" i="13" s="1"/>
  <c r="G195" i="13" s="1"/>
  <c r="G196" i="13" s="1"/>
  <c r="G197" i="13" s="1"/>
  <c r="G198" i="13" s="1"/>
  <c r="G199" i="13" s="1"/>
  <c r="G200" i="13" s="1"/>
  <c r="G201" i="13" s="1"/>
  <c r="D19" i="18" s="1"/>
  <c r="G179" i="14"/>
  <c r="G180" i="14" s="1"/>
  <c r="G181" i="14" s="1"/>
  <c r="G182" i="14" s="1"/>
  <c r="G183" i="14" s="1"/>
  <c r="G184" i="14" s="1"/>
  <c r="G185" i="14" s="1"/>
  <c r="G186" i="14" s="1"/>
  <c r="G187" i="14" s="1"/>
  <c r="G249" i="5"/>
  <c r="G250" i="5" s="1"/>
  <c r="G251" i="5" s="1"/>
  <c r="G252" i="5" s="1"/>
  <c r="G253" i="5" s="1"/>
  <c r="G254" i="5" s="1"/>
  <c r="G255" i="5" s="1"/>
  <c r="G101" i="1"/>
  <c r="G102" i="1" s="1"/>
  <c r="G103" i="1" s="1"/>
  <c r="G104" i="1" s="1"/>
  <c r="G105" i="1" s="1"/>
  <c r="G188" i="14" l="1"/>
  <c r="G189" i="14" s="1"/>
  <c r="G190" i="14" s="1"/>
  <c r="G191" i="14" s="1"/>
  <c r="G192" i="14" s="1"/>
  <c r="G193" i="14" s="1"/>
  <c r="G194" i="14" s="1"/>
  <c r="G195" i="14" s="1"/>
  <c r="G196" i="14" s="1"/>
  <c r="G197" i="14" s="1"/>
  <c r="G198" i="14" s="1"/>
  <c r="G199" i="14" s="1"/>
  <c r="G200" i="14" s="1"/>
  <c r="G201" i="14" s="1"/>
  <c r="G202" i="14" s="1"/>
  <c r="G203" i="14" s="1"/>
  <c r="G204" i="14" s="1"/>
  <c r="G205" i="14" s="1"/>
  <c r="G256" i="5"/>
  <c r="G106" i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206" i="14" l="1"/>
  <c r="G207" i="14" s="1"/>
  <c r="G208" i="14" s="1"/>
  <c r="G209" i="14" s="1"/>
  <c r="G210" i="14" s="1"/>
  <c r="G211" i="14" s="1"/>
  <c r="G212" i="14" s="1"/>
  <c r="G213" i="14" s="1"/>
  <c r="G214" i="14" s="1"/>
  <c r="G215" i="14" s="1"/>
  <c r="G216" i="14" s="1"/>
  <c r="G217" i="14" s="1"/>
  <c r="G218" i="14" s="1"/>
  <c r="G219" i="14" s="1"/>
  <c r="G220" i="14" s="1"/>
  <c r="G221" i="14" s="1"/>
  <c r="G222" i="14" s="1"/>
  <c r="G223" i="14" s="1"/>
  <c r="G224" i="14" s="1"/>
  <c r="G225" i="14" s="1"/>
  <c r="G226" i="14" s="1"/>
  <c r="G227" i="14" s="1"/>
  <c r="G228" i="14" s="1"/>
  <c r="G229" i="14" s="1"/>
  <c r="G230" i="14" s="1"/>
  <c r="G231" i="14" s="1"/>
  <c r="G232" i="14" s="1"/>
  <c r="G233" i="14" s="1"/>
  <c r="G234" i="14" s="1"/>
  <c r="G235" i="14" s="1"/>
  <c r="G236" i="14" s="1"/>
  <c r="G237" i="14" s="1"/>
  <c r="G238" i="14" s="1"/>
  <c r="G239" i="14" s="1"/>
  <c r="G240" i="14" s="1"/>
  <c r="G241" i="14" s="1"/>
  <c r="G242" i="14" s="1"/>
  <c r="G243" i="14" s="1"/>
  <c r="G244" i="14" s="1"/>
  <c r="G245" i="14" s="1"/>
  <c r="G246" i="14" s="1"/>
  <c r="G247" i="14" s="1"/>
  <c r="G248" i="14" s="1"/>
  <c r="G249" i="14" s="1"/>
  <c r="G250" i="14" s="1"/>
  <c r="G251" i="14" s="1"/>
  <c r="G252" i="14" s="1"/>
  <c r="G253" i="14" s="1"/>
  <c r="G254" i="14" s="1"/>
  <c r="G255" i="14" s="1"/>
  <c r="G256" i="14" s="1"/>
  <c r="G257" i="14" s="1"/>
  <c r="G258" i="14" s="1"/>
  <c r="G259" i="14" s="1"/>
  <c r="G260" i="14" s="1"/>
  <c r="G261" i="14" s="1"/>
  <c r="G262" i="14" s="1"/>
  <c r="G263" i="14" s="1"/>
  <c r="G264" i="14" s="1"/>
  <c r="G265" i="14" s="1"/>
  <c r="G266" i="14" s="1"/>
  <c r="G267" i="14" s="1"/>
  <c r="G268" i="14" s="1"/>
  <c r="G269" i="14" s="1"/>
  <c r="G270" i="14" s="1"/>
  <c r="G271" i="14" s="1"/>
  <c r="G272" i="14" s="1"/>
  <c r="G273" i="14" s="1"/>
  <c r="G274" i="14" s="1"/>
  <c r="G275" i="14" s="1"/>
  <c r="G276" i="14" s="1"/>
  <c r="G277" i="14" s="1"/>
  <c r="G278" i="14" s="1"/>
  <c r="G279" i="14" s="1"/>
  <c r="G280" i="14" s="1"/>
  <c r="G281" i="14" s="1"/>
  <c r="G282" i="14" s="1"/>
  <c r="G283" i="14" s="1"/>
  <c r="G284" i="14" s="1"/>
  <c r="G285" i="14" s="1"/>
  <c r="G286" i="14" s="1"/>
  <c r="G287" i="14" s="1"/>
  <c r="G288" i="14" s="1"/>
  <c r="G289" i="14" s="1"/>
  <c r="G290" i="14" s="1"/>
  <c r="G291" i="14" s="1"/>
  <c r="G292" i="14" s="1"/>
  <c r="G293" i="14" s="1"/>
  <c r="G294" i="14" s="1"/>
  <c r="G295" i="14" s="1"/>
  <c r="G296" i="14" s="1"/>
  <c r="G297" i="14" s="1"/>
  <c r="G298" i="14" s="1"/>
  <c r="G299" i="14" s="1"/>
  <c r="G300" i="14" s="1"/>
  <c r="G301" i="14" s="1"/>
  <c r="G302" i="14" s="1"/>
  <c r="G303" i="14" s="1"/>
  <c r="G304" i="14" s="1"/>
  <c r="G305" i="14" s="1"/>
  <c r="G306" i="14" s="1"/>
  <c r="G257" i="5"/>
  <c r="G258" i="5" s="1"/>
  <c r="G259" i="5" s="1"/>
  <c r="G260" i="5" s="1"/>
  <c r="G261" i="5" s="1"/>
  <c r="G262" i="5" s="1"/>
  <c r="G263" i="5" s="1"/>
  <c r="G264" i="5" s="1"/>
  <c r="G265" i="5" s="1"/>
  <c r="G266" i="5" s="1"/>
  <c r="G267" i="5" s="1"/>
  <c r="G268" i="5" s="1"/>
  <c r="G269" i="5" s="1"/>
  <c r="G270" i="5" s="1"/>
  <c r="G271" i="5" s="1"/>
  <c r="G272" i="5" s="1"/>
  <c r="G122" i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307" i="14" l="1"/>
  <c r="G308" i="14" s="1"/>
  <c r="G309" i="14" s="1"/>
  <c r="G273" i="5"/>
  <c r="G145" i="1"/>
  <c r="G310" i="14" l="1"/>
  <c r="G311" i="14" s="1"/>
  <c r="G312" i="14" s="1"/>
  <c r="G313" i="14" s="1"/>
  <c r="G314" i="14" s="1"/>
  <c r="G315" i="14" s="1"/>
  <c r="G316" i="14" s="1"/>
  <c r="G317" i="14" s="1"/>
  <c r="G318" i="14" s="1"/>
  <c r="G319" i="14" s="1"/>
  <c r="D20" i="18" s="1"/>
  <c r="G274" i="5"/>
  <c r="G275" i="5" s="1"/>
  <c r="G276" i="5" s="1"/>
  <c r="G277" i="5" s="1"/>
  <c r="G278" i="5" s="1"/>
  <c r="G279" i="5" s="1"/>
  <c r="G280" i="5" s="1"/>
  <c r="G281" i="5" s="1"/>
  <c r="G282" i="5" s="1"/>
  <c r="G283" i="5" s="1"/>
  <c r="G284" i="5" s="1"/>
  <c r="G285" i="5" s="1"/>
  <c r="G286" i="5" s="1"/>
  <c r="G287" i="5" s="1"/>
  <c r="G288" i="5" s="1"/>
  <c r="G289" i="5" s="1"/>
  <c r="G290" i="5" s="1"/>
  <c r="G291" i="5" s="1"/>
  <c r="G292" i="5" s="1"/>
  <c r="G293" i="5" s="1"/>
  <c r="G146" i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94" i="5" l="1"/>
  <c r="G295" i="5" s="1"/>
  <c r="G296" i="5" s="1"/>
  <c r="G297" i="5" s="1"/>
  <c r="G298" i="5" s="1"/>
  <c r="G299" i="5" s="1"/>
  <c r="G300" i="5" s="1"/>
  <c r="G301" i="5" s="1"/>
  <c r="G302" i="5" s="1"/>
  <c r="G303" i="5" s="1"/>
  <c r="G304" i="5" s="1"/>
  <c r="D10" i="18" s="1"/>
  <c r="G216" i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l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l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D4" i="18" s="1"/>
</calcChain>
</file>

<file path=xl/sharedStrings.xml><?xml version="1.0" encoding="utf-8"?>
<sst xmlns="http://schemas.openxmlformats.org/spreadsheetml/2006/main" count="1899" uniqueCount="530">
  <si>
    <t>Edward &amp; Christie(Pvt)Ltd</t>
  </si>
  <si>
    <t>Central Work Shop Badalgama</t>
  </si>
  <si>
    <t>Fuel &amp; Lubricant Stock Book</t>
  </si>
  <si>
    <t>15W40 (CI-04)Engine Oil</t>
  </si>
  <si>
    <t>Date</t>
  </si>
  <si>
    <t>MTN</t>
  </si>
  <si>
    <t>MR</t>
  </si>
  <si>
    <t>Description</t>
  </si>
  <si>
    <t>Received</t>
  </si>
  <si>
    <t>Issued</t>
  </si>
  <si>
    <t>Balance</t>
  </si>
  <si>
    <t>Remark</t>
  </si>
  <si>
    <t>From Main Stores</t>
  </si>
  <si>
    <t>Service Team</t>
  </si>
  <si>
    <t>LN-8278</t>
  </si>
  <si>
    <t>VR-71</t>
  </si>
  <si>
    <t>Returned From Service Team</t>
  </si>
  <si>
    <t>LK-5041</t>
  </si>
  <si>
    <t>48-4849</t>
  </si>
  <si>
    <t>LO-7183</t>
  </si>
  <si>
    <t>HU-5097</t>
  </si>
  <si>
    <t>LD-8875</t>
  </si>
  <si>
    <t>Ruwanwella</t>
  </si>
  <si>
    <t>Batticoloa-LOT/02</t>
  </si>
  <si>
    <t>PTR-10</t>
  </si>
  <si>
    <t>SR-04</t>
  </si>
  <si>
    <t>LM-6653</t>
  </si>
  <si>
    <t>ZA-0447</t>
  </si>
  <si>
    <t>LJ-5203</t>
  </si>
  <si>
    <t>Servo</t>
  </si>
  <si>
    <t>MP-140 Gear Oil</t>
  </si>
  <si>
    <t>LP-1569</t>
  </si>
  <si>
    <t>20W-50 Engine Oil</t>
  </si>
  <si>
    <t>15W40 (Delogold)Engine Oil</t>
  </si>
  <si>
    <t>DS-10 Engine Oil</t>
  </si>
  <si>
    <t>B/F Balance</t>
  </si>
  <si>
    <t>PR-1504</t>
  </si>
  <si>
    <t>B/F</t>
  </si>
  <si>
    <t>Service team</t>
  </si>
  <si>
    <t>SAE-30 Engine Oil</t>
  </si>
  <si>
    <t>B/F- Balance</t>
  </si>
  <si>
    <t>FL-02</t>
  </si>
  <si>
    <t>CEP-03</t>
  </si>
  <si>
    <t>C.Com</t>
  </si>
  <si>
    <t>Returned From C.Com</t>
  </si>
  <si>
    <t>LI-3402</t>
  </si>
  <si>
    <t>Ruwanwella W/P</t>
  </si>
  <si>
    <t>Batticoloa-LOT-03</t>
  </si>
  <si>
    <t>Rtd From Service Team</t>
  </si>
  <si>
    <t>ZA-0447 JCB (Iginimitiya)</t>
  </si>
  <si>
    <t>Batticoloa-LOT-02</t>
  </si>
  <si>
    <t>MG-05</t>
  </si>
  <si>
    <t>TM-20-Kilinochchi</t>
  </si>
  <si>
    <t>S/No</t>
  </si>
  <si>
    <t>15W40 (servo)Engine Oil</t>
  </si>
  <si>
    <t>PJ-6376</t>
  </si>
  <si>
    <t>Batticoloa-LOT/03</t>
  </si>
  <si>
    <t>GL-0019</t>
  </si>
  <si>
    <t>47-5112</t>
  </si>
  <si>
    <t>28-4314</t>
  </si>
  <si>
    <t>LK-4057</t>
  </si>
  <si>
    <t>LD-05</t>
  </si>
  <si>
    <t>57-3062</t>
  </si>
  <si>
    <t>HEX-29</t>
  </si>
  <si>
    <t>TM-13</t>
  </si>
  <si>
    <t>SL-03</t>
  </si>
  <si>
    <t>Marawila</t>
  </si>
  <si>
    <t>VR-14</t>
  </si>
  <si>
    <t>VR-64</t>
  </si>
  <si>
    <t>LO-7855</t>
  </si>
  <si>
    <t>BET-3772</t>
  </si>
  <si>
    <t>LP-1572</t>
  </si>
  <si>
    <t>HEX-45</t>
  </si>
  <si>
    <t>LL-1782</t>
  </si>
  <si>
    <t>VR-10</t>
  </si>
  <si>
    <t>LY-1614</t>
  </si>
  <si>
    <t>HEX-23</t>
  </si>
  <si>
    <t>PH-6747</t>
  </si>
  <si>
    <t>LP-1574</t>
  </si>
  <si>
    <t>LO-0434</t>
  </si>
  <si>
    <t>DAH-2230</t>
  </si>
  <si>
    <t>PR-1469</t>
  </si>
  <si>
    <t>LO-9810</t>
  </si>
  <si>
    <t>SL-15</t>
  </si>
  <si>
    <t>VR-53</t>
  </si>
  <si>
    <t>ZB-2587</t>
  </si>
  <si>
    <t>DAH-2491</t>
  </si>
  <si>
    <t>PH-6744</t>
  </si>
  <si>
    <t>Muthur Plant</t>
  </si>
  <si>
    <t>Port City</t>
  </si>
  <si>
    <t>HEX-41</t>
  </si>
  <si>
    <t>ASP-03</t>
  </si>
  <si>
    <t>RF-0748</t>
  </si>
  <si>
    <t>HS-1794</t>
  </si>
  <si>
    <t>325-5720</t>
  </si>
  <si>
    <t>LD-06</t>
  </si>
  <si>
    <t>325-5120</t>
  </si>
  <si>
    <t>RH-3052</t>
  </si>
  <si>
    <t>GE-30</t>
  </si>
  <si>
    <t>01Bags Co.Mixer</t>
  </si>
  <si>
    <t>Ruwanwella Water Project</t>
  </si>
  <si>
    <t>DS-10</t>
  </si>
  <si>
    <t>SAE-30</t>
  </si>
  <si>
    <t>Excess Received</t>
  </si>
  <si>
    <t>Returned From Service</t>
  </si>
  <si>
    <t>Ambanpola W/Project</t>
  </si>
  <si>
    <t>LB-01/ZA-2609</t>
  </si>
  <si>
    <t>HEX-18</t>
  </si>
  <si>
    <t>Kilinochchi.</t>
  </si>
  <si>
    <t>ZA-2608</t>
  </si>
  <si>
    <t>VR-44</t>
  </si>
  <si>
    <t>CEP-03€</t>
  </si>
  <si>
    <t>ZA-2609</t>
  </si>
  <si>
    <t xml:space="preserve">ZA-0447 JCB </t>
  </si>
  <si>
    <t>HEX-22</t>
  </si>
  <si>
    <t>LK-5068</t>
  </si>
  <si>
    <t>MG-03</t>
  </si>
  <si>
    <t>NBRO Kalalgamuwa</t>
  </si>
  <si>
    <t>Auto Baxs</t>
  </si>
  <si>
    <t>LK-2366</t>
  </si>
  <si>
    <t>TR-01</t>
  </si>
  <si>
    <t>CEP-03(E)</t>
  </si>
  <si>
    <t>RD-3536</t>
  </si>
  <si>
    <t>ZA-5474</t>
  </si>
  <si>
    <t>PORT CITY</t>
  </si>
  <si>
    <t>HEX-46</t>
  </si>
  <si>
    <t>HD-68 Hy/Oil</t>
  </si>
  <si>
    <t>HD-46 Hy/Oil</t>
  </si>
  <si>
    <t>VR-23</t>
  </si>
  <si>
    <t>Main Stores</t>
  </si>
  <si>
    <t>Batticoloa</t>
  </si>
  <si>
    <t>SERVO-46 Hy/Oil</t>
  </si>
  <si>
    <t>HEX-33-Kilinochchi</t>
  </si>
  <si>
    <t>SL-02</t>
  </si>
  <si>
    <t>Service Truck</t>
  </si>
  <si>
    <t>Returned From Service Truck</t>
  </si>
  <si>
    <t>Power Oil-1888</t>
  </si>
  <si>
    <t>From Service Truck</t>
  </si>
  <si>
    <t>ZA-0447-Iginimitiya</t>
  </si>
  <si>
    <t>LK-6740</t>
  </si>
  <si>
    <t>DAH-4491</t>
  </si>
  <si>
    <t>MP-90 Gear Oil</t>
  </si>
  <si>
    <t>ZA-6255</t>
  </si>
  <si>
    <t>LC-0434</t>
  </si>
  <si>
    <t>HEX-21</t>
  </si>
  <si>
    <t>RA-3052</t>
  </si>
  <si>
    <t>NBRO-Kalalgamuwa</t>
  </si>
  <si>
    <t>ZA-9716</t>
  </si>
  <si>
    <t>Marawila Rd Project</t>
  </si>
  <si>
    <t>CEP-03-E</t>
  </si>
  <si>
    <t>80W90 Gear Oil</t>
  </si>
  <si>
    <t>LP-1571</t>
  </si>
  <si>
    <t>MG-18</t>
  </si>
  <si>
    <t>LP-1568</t>
  </si>
  <si>
    <t>LK-4059</t>
  </si>
  <si>
    <t>LO-4822</t>
  </si>
  <si>
    <t>LP-1578</t>
  </si>
  <si>
    <t>LI-7620</t>
  </si>
  <si>
    <t>HO-9850</t>
  </si>
  <si>
    <t>Ruwanwella W/Project</t>
  </si>
  <si>
    <t>Iginimitiya</t>
  </si>
  <si>
    <t>Asphalt Plant</t>
  </si>
  <si>
    <t>Service Bay</t>
  </si>
  <si>
    <t>Marawila Rd/Project</t>
  </si>
  <si>
    <t>01Bag Cn.Mixer</t>
  </si>
  <si>
    <t>Mundalama State</t>
  </si>
  <si>
    <t>HEX-17</t>
  </si>
  <si>
    <t>Grease</t>
  </si>
  <si>
    <t>Item</t>
  </si>
  <si>
    <t>Qty</t>
  </si>
  <si>
    <t>Bandula Ekanayake</t>
  </si>
  <si>
    <t>Store Keeper</t>
  </si>
  <si>
    <t>Service Bay-Carture</t>
  </si>
  <si>
    <t>GREASE</t>
  </si>
  <si>
    <t>SERVO-68 Hy/Oil</t>
  </si>
  <si>
    <t>ZA-9716-CR/02</t>
  </si>
  <si>
    <t>ZA-8033</t>
  </si>
  <si>
    <t>LK-5047</t>
  </si>
  <si>
    <t>Asphalt Team</t>
  </si>
  <si>
    <t>Returned From Port City</t>
  </si>
  <si>
    <t xml:space="preserve">Marawila </t>
  </si>
  <si>
    <t>PTR-01</t>
  </si>
  <si>
    <t>LP-1577</t>
  </si>
  <si>
    <t>HEX-42</t>
  </si>
  <si>
    <t>TR-01-Serunuwara</t>
  </si>
  <si>
    <t>GE-04</t>
  </si>
  <si>
    <t>New Where House Building</t>
  </si>
  <si>
    <t>LM-5720</t>
  </si>
  <si>
    <t>YARD</t>
  </si>
  <si>
    <t>MGS-01</t>
  </si>
  <si>
    <t>CR-02</t>
  </si>
  <si>
    <t>LN-8279</t>
  </si>
  <si>
    <t>Servce Bay</t>
  </si>
  <si>
    <t>PA-6399</t>
  </si>
  <si>
    <t>Alternater Cleanig</t>
  </si>
  <si>
    <t>AC-38</t>
  </si>
  <si>
    <t>VR-29</t>
  </si>
  <si>
    <t>SL-14</t>
  </si>
  <si>
    <t>SR-19</t>
  </si>
  <si>
    <t>Batching Plant</t>
  </si>
  <si>
    <t>Mallawagedara-SR-19</t>
  </si>
  <si>
    <t>LO-4524</t>
  </si>
  <si>
    <t>PD-6917</t>
  </si>
  <si>
    <t>Fuel &amp; Lubricant Issues</t>
  </si>
  <si>
    <t>Re/Qty</t>
  </si>
  <si>
    <t xml:space="preserve"> OIL MR</t>
  </si>
  <si>
    <t>LO-4824</t>
  </si>
  <si>
    <t>MG-04</t>
  </si>
  <si>
    <t>VR-62</t>
  </si>
  <si>
    <t>CEP-03 ( E )</t>
  </si>
  <si>
    <t>LN-8277</t>
  </si>
  <si>
    <t>Mallawagedara Bridge</t>
  </si>
  <si>
    <t>ZB-1546</t>
  </si>
  <si>
    <t>LK-6738</t>
  </si>
  <si>
    <t>BT-03 ( Kalawanchikudi )</t>
  </si>
  <si>
    <t>BT-03(Kalawanchikudi)</t>
  </si>
  <si>
    <t xml:space="preserve"> </t>
  </si>
  <si>
    <t>Bridge No.01&amp; 02-Karathiu</t>
  </si>
  <si>
    <t>80W90 Gear Oil (Servo)</t>
  </si>
  <si>
    <t>LB-25</t>
  </si>
  <si>
    <t>Marawila Water Project</t>
  </si>
  <si>
    <t>Marawila I Road Project</t>
  </si>
  <si>
    <t>SL-09</t>
  </si>
  <si>
    <t>Eecess Received</t>
  </si>
  <si>
    <t>Light Plant Clean</t>
  </si>
  <si>
    <t>HCC-09</t>
  </si>
  <si>
    <t>Guarden Clean</t>
  </si>
  <si>
    <t>Air Compressor</t>
  </si>
  <si>
    <t>Lathe-Shop</t>
  </si>
  <si>
    <t>253-2576</t>
  </si>
  <si>
    <t>LM-8278</t>
  </si>
  <si>
    <t>Motor Washing</t>
  </si>
  <si>
    <t>LE-4986</t>
  </si>
  <si>
    <t>LK-2266</t>
  </si>
  <si>
    <t>LO-4925</t>
  </si>
  <si>
    <t>L/P</t>
  </si>
  <si>
    <t>LI-3401</t>
  </si>
  <si>
    <t>48-8072</t>
  </si>
  <si>
    <t>b/f</t>
  </si>
  <si>
    <t>HEX-37</t>
  </si>
  <si>
    <t>VR-40</t>
  </si>
  <si>
    <t>PA-4193</t>
  </si>
  <si>
    <t>ZA-7925</t>
  </si>
  <si>
    <t>Pile Driver</t>
  </si>
  <si>
    <t>LO-5984</t>
  </si>
  <si>
    <t>Service Carture Engine</t>
  </si>
  <si>
    <t>325-3448</t>
  </si>
  <si>
    <t>LI-3851</t>
  </si>
  <si>
    <t>LL-0623</t>
  </si>
  <si>
    <t>SR-05</t>
  </si>
  <si>
    <t>ZA-8337</t>
  </si>
  <si>
    <t>RC-9894</t>
  </si>
  <si>
    <t>CM-33</t>
  </si>
  <si>
    <t>Electric Compressor</t>
  </si>
  <si>
    <t>I C DP-LOT/03</t>
  </si>
  <si>
    <t>ZB-1521</t>
  </si>
  <si>
    <t>Hydraulic Press Macine</t>
  </si>
  <si>
    <t xml:space="preserve">Mallawagedara-Bridge </t>
  </si>
  <si>
    <t>ICDP-LOT/02</t>
  </si>
  <si>
    <t>PH-3945</t>
  </si>
  <si>
    <t>Ruwanwella W/Pro</t>
  </si>
  <si>
    <t>ZB-1548</t>
  </si>
  <si>
    <t>Rtd From Ruwanwella W/P</t>
  </si>
  <si>
    <t>Lathe Machine</t>
  </si>
  <si>
    <t>New Con.Mixer-CM-33</t>
  </si>
  <si>
    <t>41-7225</t>
  </si>
  <si>
    <t>49-5294</t>
  </si>
  <si>
    <t>RS-0401</t>
  </si>
  <si>
    <t>DAH-2231</t>
  </si>
  <si>
    <t>ZB-1548-Ruwanwella</t>
  </si>
  <si>
    <t>ZB-1469 Tor Bowser</t>
  </si>
  <si>
    <t>Batticoloa ICDP-LOT/02</t>
  </si>
  <si>
    <t>LJ-8055</t>
  </si>
  <si>
    <t>LM-7942</t>
  </si>
  <si>
    <t>ASC-21</t>
  </si>
  <si>
    <t>LK-4058</t>
  </si>
  <si>
    <t>ZB-2586</t>
  </si>
  <si>
    <t>LK-5586</t>
  </si>
  <si>
    <t>Ruwanwella LK-2366</t>
  </si>
  <si>
    <t>SL-11-Ruwanwella</t>
  </si>
  <si>
    <t>Karathiu Bridge Site</t>
  </si>
  <si>
    <t xml:space="preserve">Date   :   </t>
  </si>
  <si>
    <t xml:space="preserve">Vehicle No :   </t>
  </si>
  <si>
    <t xml:space="preserve">Name </t>
  </si>
  <si>
    <t>Designation</t>
  </si>
  <si>
    <t>Signature</t>
  </si>
  <si>
    <t>Material Note</t>
  </si>
  <si>
    <t>PA-4879</t>
  </si>
  <si>
    <t>LK-4061</t>
  </si>
  <si>
    <t>PD-7049</t>
  </si>
  <si>
    <t>AC-37</t>
  </si>
  <si>
    <t>LP-1713</t>
  </si>
  <si>
    <t>VR-42</t>
  </si>
  <si>
    <t>LP-1566</t>
  </si>
  <si>
    <t>LM-5721</t>
  </si>
  <si>
    <t>SR-11</t>
  </si>
  <si>
    <t>51-7155</t>
  </si>
  <si>
    <t>Auto bax</t>
  </si>
  <si>
    <t>File hammer</t>
  </si>
  <si>
    <t>51-7158</t>
  </si>
  <si>
    <t>hex-23</t>
  </si>
  <si>
    <t>SL-06</t>
  </si>
  <si>
    <t>LN-9046</t>
  </si>
  <si>
    <t>HEX-43</t>
  </si>
  <si>
    <t>Marawila site</t>
  </si>
  <si>
    <t>LG-1617</t>
  </si>
  <si>
    <t>Karture</t>
  </si>
  <si>
    <t>LK-5048</t>
  </si>
  <si>
    <t xml:space="preserve">          </t>
  </si>
  <si>
    <t>cep/03 CR-02</t>
  </si>
  <si>
    <t>LO-7181</t>
  </si>
  <si>
    <t>LB-01</t>
  </si>
  <si>
    <t>LB-9496</t>
  </si>
  <si>
    <t>Grease gun</t>
  </si>
  <si>
    <t>A/Plant</t>
  </si>
  <si>
    <t>LD-08</t>
  </si>
  <si>
    <t>New JCB</t>
  </si>
  <si>
    <t>SR-09</t>
  </si>
  <si>
    <t>SR-13</t>
  </si>
  <si>
    <t>FL-03</t>
  </si>
  <si>
    <t>PV-6889</t>
  </si>
  <si>
    <t>CEP-03 wadakada</t>
  </si>
  <si>
    <t>Bar Cutting Machine-Fabricate</t>
  </si>
  <si>
    <t>Laboratory</t>
  </si>
  <si>
    <t>CEP-03 New</t>
  </si>
  <si>
    <t>TRN-17</t>
  </si>
  <si>
    <t>TRN-18</t>
  </si>
  <si>
    <t>GE-131</t>
  </si>
  <si>
    <t>GE-39</t>
  </si>
  <si>
    <t>SL-10</t>
  </si>
  <si>
    <t>CEP-03/E</t>
  </si>
  <si>
    <t>Maravila Rd Project</t>
  </si>
  <si>
    <t>GE-152</t>
  </si>
  <si>
    <t>41-1130</t>
  </si>
  <si>
    <t>Porker Engine-</t>
  </si>
  <si>
    <t>Porker Engine-S/N-C-756310</t>
  </si>
  <si>
    <t>CEP-03 NEW</t>
  </si>
  <si>
    <t>BTLOT-02-277-Batticoloa</t>
  </si>
  <si>
    <t>HEX-40</t>
  </si>
  <si>
    <t>BTLOT-02-Batticoloa</t>
  </si>
  <si>
    <t>BT/LOT-02-Batticoloa</t>
  </si>
  <si>
    <t>BIE-8724</t>
  </si>
  <si>
    <t>LP-1720</t>
  </si>
  <si>
    <t>ASC-25</t>
  </si>
  <si>
    <t>ASC-20</t>
  </si>
  <si>
    <t>PT-1569</t>
  </si>
  <si>
    <t>PH-6742</t>
  </si>
  <si>
    <t>Plate Compactor(S/N-R 4411 )</t>
  </si>
  <si>
    <t>PH-0765</t>
  </si>
  <si>
    <t>Water Pump S/N-C-129657</t>
  </si>
  <si>
    <t>Pallan Oya Bridge Site Ampara</t>
  </si>
  <si>
    <t>Estern Work Shop -15B</t>
  </si>
  <si>
    <t>CEP 03 New-233A</t>
  </si>
  <si>
    <t>Pallanoya Bridge Site Ampara</t>
  </si>
  <si>
    <t>LO-4823</t>
  </si>
  <si>
    <t>DAH-2228</t>
  </si>
  <si>
    <t>LI-4524</t>
  </si>
  <si>
    <t>Service Karture</t>
  </si>
  <si>
    <t>HEX-27</t>
  </si>
  <si>
    <t>RS-0483</t>
  </si>
  <si>
    <t>Concrete Plant</t>
  </si>
  <si>
    <t>Service Bay (10kg Grease Pump)</t>
  </si>
  <si>
    <t>28-4814</t>
  </si>
  <si>
    <t>Returned From CEP-03</t>
  </si>
  <si>
    <t>Avissawella Bridge</t>
  </si>
  <si>
    <t>01 Ton Roller S/N-0509047</t>
  </si>
  <si>
    <t>ZA-6395</t>
  </si>
  <si>
    <t>LD-09</t>
  </si>
  <si>
    <t>Awissawella Bridge Project</t>
  </si>
  <si>
    <t>Fabrication Chain Saw</t>
  </si>
  <si>
    <t>I-Road EP-LOT/03</t>
  </si>
  <si>
    <t>FL-01</t>
  </si>
  <si>
    <t>I Road-EP/LOT-03</t>
  </si>
  <si>
    <t>I Road Pro/EP/LOT-03</t>
  </si>
  <si>
    <t>PV-6399</t>
  </si>
  <si>
    <t>RF-8340</t>
  </si>
  <si>
    <t>CEP/03-E- NEW</t>
  </si>
  <si>
    <t>I ROAD/EP/LOT-03</t>
  </si>
  <si>
    <t>CEP-03-NEW</t>
  </si>
  <si>
    <t>PC-7812</t>
  </si>
  <si>
    <t>PTR-06</t>
  </si>
  <si>
    <t>PA-6376</t>
  </si>
  <si>
    <t>VR-12</t>
  </si>
  <si>
    <t>Service Pressor Gun</t>
  </si>
  <si>
    <t>H/O</t>
  </si>
  <si>
    <t>ICDP/EP/Work Shop</t>
  </si>
  <si>
    <t>ZA-8395</t>
  </si>
  <si>
    <t>59-5421</t>
  </si>
  <si>
    <t>Poker Engine-17090328</t>
  </si>
  <si>
    <t>Poker Engine-ES-1811006.1</t>
  </si>
  <si>
    <t>AC-25</t>
  </si>
  <si>
    <t>NEW Water Pump Engine</t>
  </si>
  <si>
    <t>4" Water Pump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</si>
  <si>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</si>
  <si>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BDI-8556</t>
  </si>
  <si>
    <t>Kotugoda Bridge Site</t>
  </si>
  <si>
    <t>Kotugoda brdge site</t>
  </si>
  <si>
    <t>CR-01</t>
  </si>
  <si>
    <t>HUB GREASE</t>
  </si>
  <si>
    <t>Main Stores Badalgama</t>
  </si>
  <si>
    <t>Batticloa Work Shop</t>
  </si>
  <si>
    <t>ZA-8395-CR/01</t>
  </si>
  <si>
    <t>GE-147</t>
  </si>
  <si>
    <t>LB-4824</t>
  </si>
  <si>
    <t>ZB-1047/LB-15</t>
  </si>
  <si>
    <t>Gampha Bridge</t>
  </si>
  <si>
    <t>HEX-01</t>
  </si>
  <si>
    <t>ZB-2587/Bobcat JCB</t>
  </si>
  <si>
    <t>MG-17</t>
  </si>
  <si>
    <t>SL-11</t>
  </si>
  <si>
    <t>LOT/03 (295)</t>
  </si>
  <si>
    <t>LOT/03BT (276)</t>
  </si>
  <si>
    <t>LB-11/ ZA-7092</t>
  </si>
  <si>
    <t>LB-11 / ZA-7092</t>
  </si>
  <si>
    <t>GE-62</t>
  </si>
  <si>
    <t>New Stone Block Plant</t>
  </si>
  <si>
    <t>Marawila Road Project</t>
  </si>
  <si>
    <t>ZB-1548/  LB-18</t>
  </si>
  <si>
    <t>MG-10</t>
  </si>
  <si>
    <t>Battocoloa Work Shop</t>
  </si>
  <si>
    <t>01 Ton Roller</t>
  </si>
  <si>
    <t>ZA-2609 / LB01</t>
  </si>
  <si>
    <t>LB-01 /ZA-2609</t>
  </si>
  <si>
    <t>LB-01 / ZA-2609</t>
  </si>
  <si>
    <t>LK-2276</t>
  </si>
  <si>
    <t xml:space="preserve">    </t>
  </si>
  <si>
    <t>GE-104</t>
  </si>
  <si>
    <t>GE-82</t>
  </si>
  <si>
    <t>EP/LOT-04-Batticoloa</t>
  </si>
  <si>
    <t>ZB-2547/Bobcat JCB Service</t>
  </si>
  <si>
    <t>EP/LOT-04</t>
  </si>
  <si>
    <t>AC-34</t>
  </si>
  <si>
    <t>GE-143</t>
  </si>
  <si>
    <t>LY-4524</t>
  </si>
  <si>
    <t>STORES</t>
  </si>
  <si>
    <t>STORES R/ENGINE R CLE.</t>
  </si>
  <si>
    <t>LATHE SHOP</t>
  </si>
  <si>
    <t>LD-02</t>
  </si>
  <si>
    <t>SERVICE BAY</t>
  </si>
  <si>
    <t xml:space="preserve">SERVICE BAY </t>
  </si>
  <si>
    <t>WASHING</t>
  </si>
  <si>
    <t>HEX-19</t>
  </si>
  <si>
    <t>LK-4051</t>
  </si>
  <si>
    <t>JCB</t>
  </si>
  <si>
    <t>IN-9046</t>
  </si>
  <si>
    <t>UR-42</t>
  </si>
  <si>
    <t>AS PLANT</t>
  </si>
  <si>
    <t>WASHING (W/S spares)</t>
  </si>
  <si>
    <t>SPARES CLEANING W/S</t>
  </si>
  <si>
    <t>LOCAL PURCHES</t>
  </si>
  <si>
    <t>LE-0434</t>
  </si>
  <si>
    <t xml:space="preserve">  </t>
  </si>
  <si>
    <t>VR-13</t>
  </si>
  <si>
    <t>PX-2180</t>
  </si>
  <si>
    <t>AP-09</t>
  </si>
  <si>
    <t>WINDOW CLEANING(stores)</t>
  </si>
  <si>
    <t>LE-4849</t>
  </si>
  <si>
    <t>LOCAL PURCHESED</t>
  </si>
  <si>
    <t>LP-1712</t>
  </si>
  <si>
    <t>LO-5986</t>
  </si>
  <si>
    <t>PILE DRIVER</t>
  </si>
  <si>
    <t>VR-02</t>
  </si>
  <si>
    <t>VR-37</t>
  </si>
  <si>
    <t>MG-13</t>
  </si>
  <si>
    <t>SERVICE BAY (RS-04010</t>
  </si>
  <si>
    <t>BOMAG-138 s/n</t>
  </si>
  <si>
    <t>service bay</t>
  </si>
  <si>
    <t>local purchesed</t>
  </si>
  <si>
    <t>PLATE COMPACTOR</t>
  </si>
  <si>
    <t>WATER PUMP (S/N)</t>
  </si>
  <si>
    <t xml:space="preserve">LATHE SHOP </t>
  </si>
  <si>
    <t>68-5115</t>
  </si>
  <si>
    <t>GE-126</t>
  </si>
  <si>
    <t>PE-7812</t>
  </si>
  <si>
    <t>stores cleaning glass clean</t>
  </si>
  <si>
    <t>WP-68</t>
  </si>
  <si>
    <t>GE-119</t>
  </si>
  <si>
    <t>SPARES CLEANING (VR-12/VR-09/LT-1.5</t>
  </si>
  <si>
    <t>PLUG CLEANING</t>
  </si>
  <si>
    <t>PTR-02/07/09</t>
  </si>
  <si>
    <t>PTR-09</t>
  </si>
  <si>
    <t>PTR-02</t>
  </si>
  <si>
    <t>TR-05</t>
  </si>
  <si>
    <t>ZB-1548/LB-18</t>
  </si>
  <si>
    <t>FIRE SAFETY TRANING</t>
  </si>
  <si>
    <t>MG-15</t>
  </si>
  <si>
    <t>LX-1679</t>
  </si>
  <si>
    <t>DAH-2229</t>
  </si>
  <si>
    <t>Fire Training</t>
  </si>
  <si>
    <t>LP</t>
  </si>
  <si>
    <t>LN-1867</t>
  </si>
  <si>
    <t>ZA-8511-Rear Engine</t>
  </si>
  <si>
    <t>ZA-8511-Front Engine</t>
  </si>
  <si>
    <t>Air Filter-ZA-8511</t>
  </si>
  <si>
    <t>CEP/03</t>
  </si>
  <si>
    <t>ZB-1521-Iginimitiya</t>
  </si>
  <si>
    <t>cotton waste</t>
  </si>
  <si>
    <t>Work Shop</t>
  </si>
  <si>
    <t>Hose Room Cleaning</t>
  </si>
  <si>
    <t>Tools Box Cleaning</t>
  </si>
  <si>
    <t>LB-02 /ZA-2963</t>
  </si>
  <si>
    <t>ZA-8511</t>
  </si>
  <si>
    <t>VR-48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</si>
  <si>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</si>
  <si>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Wherehouse</t>
  </si>
  <si>
    <t>HEX-33</t>
  </si>
  <si>
    <t>LO-8349</t>
  </si>
  <si>
    <t>SR-01</t>
  </si>
  <si>
    <t>Hydraulic Hose Pump</t>
  </si>
  <si>
    <t>PY-2408</t>
  </si>
  <si>
    <t>ZB-2587 Bob Cat JCB  Service</t>
  </si>
  <si>
    <t>HEX-1</t>
  </si>
  <si>
    <t>LD-8</t>
  </si>
  <si>
    <t>SR-12</t>
  </si>
  <si>
    <t>BOI-8556</t>
  </si>
  <si>
    <t>15W40 (CI-04) Valvoline</t>
  </si>
  <si>
    <t>15W40 (CI-04) Servo</t>
  </si>
  <si>
    <t>15W40 (CI-04) Delogold</t>
  </si>
  <si>
    <t>HD-46 Hy/Oil Caltex</t>
  </si>
  <si>
    <t>HD-46 Hy/Oil Servo</t>
  </si>
  <si>
    <t>80W 90 Gear Oil Caltex</t>
  </si>
  <si>
    <t>80W 90 Gear Oil Servo</t>
  </si>
  <si>
    <t>Karosine Oil</t>
  </si>
  <si>
    <t>Pertrol</t>
  </si>
  <si>
    <t>Hub Grease</t>
  </si>
  <si>
    <t>Badalgama Work Shop (As At 02/06/2026)</t>
  </si>
  <si>
    <t>HD-68 Hy/Oil Caltex</t>
  </si>
  <si>
    <t>20W 50 Oil</t>
  </si>
  <si>
    <t>Batticoloa Lot/2</t>
  </si>
  <si>
    <t>Batticoloa LOT/2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</si>
</sst>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409]d\-mmm\-yyyy;@"/>
    <numFmt numFmtId="165" formatCode="[$-409]d\-mmm\-yy;@"/>
  </numFmts>
  <fonts count="2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36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1"/>
      <color rgb="FFCC3399"/>
      <name val="Times New Roman"/>
      <family val="1"/>
    </font>
    <font>
      <sz val="26"/>
      <color theme="1"/>
      <name val="Times New Roman"/>
      <family val="1"/>
    </font>
    <font>
      <sz val="13.5"/>
      <color theme="1"/>
      <name val="Times New Roman"/>
      <family val="1"/>
    </font>
    <font>
      <sz val="13.5"/>
      <color rgb="FFFF0000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3"/>
      <name val="Times New Roman"/>
      <family val="1"/>
    </font>
    <font>
      <sz val="11"/>
      <color rgb="FFC00000"/>
      <name val="Times New Roman"/>
      <family val="1"/>
    </font>
    <font>
      <sz val="13"/>
      <color rgb="FFC00000"/>
      <name val="Times New Roman"/>
      <family val="1"/>
    </font>
    <font>
      <sz val="13"/>
      <color rgb="FF000000"/>
      <name val="Times New Roman"/>
      <family val="1"/>
    </font>
    <font>
      <sz val="13"/>
      <color theme="5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63">
    <xf numFmtId="0" fontId="0" fillId="0" borderId="0" xfId="0"/>
    <xf numFmtId="0" fontId="0" fillId="0" borderId="1" xfId="0" applyBorder="1"/>
    <xf numFmtId="0" fontId="1" fillId="0" borderId="1" xfId="0" applyFont="1" applyBorder="1"/>
    <xf numFmtId="16" fontId="0" fillId="0" borderId="1" xfId="0" applyNumberFormat="1" applyBorder="1"/>
    <xf numFmtId="16" fontId="1" fillId="0" borderId="1" xfId="0" applyNumberFormat="1" applyFont="1" applyBorder="1"/>
    <xf numFmtId="0" fontId="0" fillId="2" borderId="0" xfId="0" applyFill="1"/>
    <xf numFmtId="0" fontId="1" fillId="0" borderId="0" xfId="0" applyFont="1"/>
    <xf numFmtId="0" fontId="4" fillId="0" borderId="0" xfId="0" applyFont="1"/>
    <xf numFmtId="0" fontId="4" fillId="0" borderId="1" xfId="0" applyFont="1" applyBorder="1"/>
    <xf numFmtId="15" fontId="5" fillId="0" borderId="1" xfId="0" applyNumberFormat="1" applyFont="1" applyBorder="1"/>
    <xf numFmtId="0" fontId="5" fillId="0" borderId="1" xfId="0" applyFont="1" applyBorder="1"/>
    <xf numFmtId="15" fontId="6" fillId="0" borderId="1" xfId="0" applyNumberFormat="1" applyFont="1" applyBorder="1"/>
    <xf numFmtId="0" fontId="6" fillId="0" borderId="1" xfId="0" applyFont="1" applyBorder="1"/>
    <xf numFmtId="0" fontId="3" fillId="0" borderId="0" xfId="0" applyFont="1"/>
    <xf numFmtId="0" fontId="7" fillId="0" borderId="0" xfId="0" applyFont="1"/>
    <xf numFmtId="0" fontId="4" fillId="0" borderId="1" xfId="0" applyFont="1" applyBorder="1" applyAlignment="1">
      <alignment wrapText="1"/>
    </xf>
    <xf numFmtId="0" fontId="9" fillId="0" borderId="5" xfId="0" applyFont="1" applyBorder="1"/>
    <xf numFmtId="0" fontId="10" fillId="0" borderId="6" xfId="0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0" xfId="0" applyFont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9" fillId="0" borderId="0" xfId="0" applyFont="1" applyAlignment="1">
      <alignment horizontal="center"/>
    </xf>
    <xf numFmtId="0" fontId="13" fillId="0" borderId="1" xfId="0" applyFont="1" applyBorder="1"/>
    <xf numFmtId="16" fontId="14" fillId="0" borderId="1" xfId="0" applyNumberFormat="1" applyFont="1" applyBorder="1"/>
    <xf numFmtId="0" fontId="14" fillId="0" borderId="1" xfId="0" applyFont="1" applyBorder="1"/>
    <xf numFmtId="16" fontId="13" fillId="0" borderId="1" xfId="0" applyNumberFormat="1" applyFont="1" applyBorder="1"/>
    <xf numFmtId="0" fontId="13" fillId="0" borderId="0" xfId="0" applyFont="1"/>
    <xf numFmtId="16" fontId="15" fillId="0" borderId="1" xfId="0" applyNumberFormat="1" applyFont="1" applyBorder="1"/>
    <xf numFmtId="0" fontId="15" fillId="0" borderId="1" xfId="0" applyFont="1" applyBorder="1"/>
    <xf numFmtId="16" fontId="13" fillId="3" borderId="1" xfId="0" applyNumberFormat="1" applyFont="1" applyFill="1" applyBorder="1"/>
    <xf numFmtId="0" fontId="13" fillId="2" borderId="0" xfId="0" applyFont="1" applyFill="1"/>
    <xf numFmtId="0" fontId="13" fillId="3" borderId="1" xfId="0" applyFont="1" applyFill="1" applyBorder="1"/>
    <xf numFmtId="0" fontId="16" fillId="0" borderId="0" xfId="0" applyFont="1"/>
    <xf numFmtId="0" fontId="13" fillId="2" borderId="1" xfId="0" applyFont="1" applyFill="1" applyBorder="1"/>
    <xf numFmtId="15" fontId="13" fillId="0" borderId="1" xfId="0" applyNumberFormat="1" applyFont="1" applyBorder="1"/>
    <xf numFmtId="15" fontId="14" fillId="0" borderId="1" xfId="0" applyNumberFormat="1" applyFont="1" applyBorder="1"/>
    <xf numFmtId="43" fontId="0" fillId="0" borderId="0" xfId="1" applyFont="1"/>
    <xf numFmtId="43" fontId="13" fillId="0" borderId="1" xfId="1" applyFont="1" applyBorder="1"/>
    <xf numFmtId="43" fontId="14" fillId="0" borderId="1" xfId="1" applyFont="1" applyBorder="1"/>
    <xf numFmtId="43" fontId="13" fillId="0" borderId="0" xfId="1" applyFont="1"/>
    <xf numFmtId="0" fontId="17" fillId="0" borderId="0" xfId="0" applyFont="1" applyAlignment="1">
      <alignment vertical="center"/>
    </xf>
    <xf numFmtId="0" fontId="17" fillId="0" borderId="0" xfId="0" applyFont="1"/>
    <xf numFmtId="0" fontId="17" fillId="0" borderId="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43" fontId="18" fillId="0" borderId="0" xfId="1" applyFont="1"/>
    <xf numFmtId="0" fontId="18" fillId="0" borderId="1" xfId="0" applyFont="1" applyBorder="1"/>
    <xf numFmtId="43" fontId="18" fillId="0" borderId="1" xfId="1" applyFont="1" applyBorder="1"/>
    <xf numFmtId="165" fontId="19" fillId="0" borderId="1" xfId="0" applyNumberFormat="1" applyFont="1" applyBorder="1"/>
    <xf numFmtId="0" fontId="19" fillId="0" borderId="1" xfId="0" applyFont="1" applyBorder="1"/>
    <xf numFmtId="43" fontId="19" fillId="0" borderId="1" xfId="1" applyFont="1" applyBorder="1"/>
    <xf numFmtId="165" fontId="18" fillId="0" borderId="1" xfId="0" applyNumberFormat="1" applyFont="1" applyBorder="1"/>
    <xf numFmtId="0" fontId="20" fillId="0" borderId="0" xfId="0" applyFont="1"/>
    <xf numFmtId="0" fontId="20" fillId="2" borderId="0" xfId="0" applyFont="1" applyFill="1"/>
    <xf numFmtId="0" fontId="20" fillId="0" borderId="1" xfId="0" applyFont="1" applyBorder="1"/>
    <xf numFmtId="16" fontId="20" fillId="0" borderId="1" xfId="0" applyNumberFormat="1" applyFont="1" applyBorder="1"/>
    <xf numFmtId="43" fontId="20" fillId="0" borderId="0" xfId="1" applyFont="1"/>
    <xf numFmtId="43" fontId="20" fillId="0" borderId="1" xfId="1" applyFont="1" applyBorder="1"/>
    <xf numFmtId="43" fontId="17" fillId="0" borderId="0" xfId="1" applyFont="1" applyAlignment="1">
      <alignment vertical="center"/>
    </xf>
    <xf numFmtId="43" fontId="17" fillId="0" borderId="1" xfId="1" applyFont="1" applyBorder="1" applyAlignment="1">
      <alignment horizontal="center"/>
    </xf>
    <xf numFmtId="43" fontId="17" fillId="3" borderId="1" xfId="1" applyFont="1" applyFill="1" applyBorder="1" applyAlignment="1">
      <alignment horizontal="center"/>
    </xf>
    <xf numFmtId="43" fontId="17" fillId="3" borderId="1" xfId="1" applyFont="1" applyFill="1" applyBorder="1"/>
    <xf numFmtId="43" fontId="17" fillId="0" borderId="0" xfId="1" applyFont="1"/>
    <xf numFmtId="15" fontId="20" fillId="0" borderId="1" xfId="0" applyNumberFormat="1" applyFont="1" applyBorder="1"/>
    <xf numFmtId="0" fontId="20" fillId="0" borderId="1" xfId="0" applyFont="1" applyBorder="1" applyAlignment="1">
      <alignment horizontal="center"/>
    </xf>
    <xf numFmtId="43" fontId="20" fillId="0" borderId="1" xfId="1" applyFont="1" applyBorder="1" applyAlignment="1">
      <alignment horizontal="center"/>
    </xf>
    <xf numFmtId="15" fontId="21" fillId="0" borderId="1" xfId="0" applyNumberFormat="1" applyFont="1" applyBorder="1"/>
    <xf numFmtId="0" fontId="21" fillId="0" borderId="1" xfId="0" applyFont="1" applyBorder="1"/>
    <xf numFmtId="43" fontId="21" fillId="0" borderId="1" xfId="1" applyFont="1" applyBorder="1"/>
    <xf numFmtId="16" fontId="21" fillId="0" borderId="1" xfId="0" applyNumberFormat="1" applyFont="1" applyBorder="1"/>
    <xf numFmtId="16" fontId="22" fillId="0" borderId="1" xfId="0" applyNumberFormat="1" applyFont="1" applyBorder="1"/>
    <xf numFmtId="16" fontId="20" fillId="2" borderId="1" xfId="0" applyNumberFormat="1" applyFont="1" applyFill="1" applyBorder="1"/>
    <xf numFmtId="0" fontId="20" fillId="2" borderId="1" xfId="0" applyFont="1" applyFill="1" applyBorder="1"/>
    <xf numFmtId="0" fontId="22" fillId="0" borderId="1" xfId="0" applyFont="1" applyBorder="1"/>
    <xf numFmtId="43" fontId="20" fillId="2" borderId="1" xfId="1" applyFont="1" applyFill="1" applyBorder="1"/>
    <xf numFmtId="43" fontId="22" fillId="0" borderId="1" xfId="1" applyFont="1" applyBorder="1"/>
    <xf numFmtId="15" fontId="22" fillId="0" borderId="1" xfId="0" applyNumberFormat="1" applyFont="1" applyBorder="1"/>
    <xf numFmtId="43" fontId="13" fillId="0" borderId="0" xfId="0" applyNumberFormat="1" applyFont="1"/>
    <xf numFmtId="15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5" fontId="13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15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5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3" fontId="13" fillId="0" borderId="1" xfId="1" applyFont="1" applyBorder="1" applyAlignment="1">
      <alignment horizontal="center" vertical="center"/>
    </xf>
    <xf numFmtId="43" fontId="15" fillId="0" borderId="1" xfId="1" applyFont="1" applyBorder="1"/>
    <xf numFmtId="43" fontId="13" fillId="3" borderId="1" xfId="1" applyFont="1" applyFill="1" applyBorder="1" applyAlignment="1">
      <alignment horizontal="center" vertical="center"/>
    </xf>
    <xf numFmtId="43" fontId="15" fillId="3" borderId="1" xfId="1" applyFont="1" applyFill="1" applyBorder="1"/>
    <xf numFmtId="43" fontId="14" fillId="0" borderId="1" xfId="1" applyFont="1" applyBorder="1" applyAlignment="1">
      <alignment horizontal="center" vertical="center"/>
    </xf>
    <xf numFmtId="43" fontId="15" fillId="0" borderId="1" xfId="1" applyFont="1" applyBorder="1" applyAlignment="1">
      <alignment horizontal="center" vertical="center"/>
    </xf>
    <xf numFmtId="0" fontId="13" fillId="0" borderId="17" xfId="0" applyFont="1" applyBorder="1"/>
    <xf numFmtId="43" fontId="13" fillId="3" borderId="1" xfId="1" applyFont="1" applyFill="1" applyBorder="1"/>
    <xf numFmtId="43" fontId="13" fillId="0" borderId="17" xfId="1" applyFont="1" applyBorder="1"/>
    <xf numFmtId="16" fontId="20" fillId="3" borderId="1" xfId="0" applyNumberFormat="1" applyFont="1" applyFill="1" applyBorder="1"/>
    <xf numFmtId="0" fontId="20" fillId="3" borderId="1" xfId="0" applyFont="1" applyFill="1" applyBorder="1"/>
    <xf numFmtId="43" fontId="20" fillId="3" borderId="1" xfId="1" applyFont="1" applyFill="1" applyBorder="1"/>
    <xf numFmtId="0" fontId="23" fillId="0" borderId="1" xfId="0" applyFont="1" applyBorder="1"/>
    <xf numFmtId="43" fontId="23" fillId="0" borderId="1" xfId="1" applyFont="1" applyBorder="1"/>
    <xf numFmtId="43" fontId="13" fillId="2" borderId="1" xfId="1" applyFont="1" applyFill="1" applyBorder="1"/>
    <xf numFmtId="16" fontId="24" fillId="0" borderId="1" xfId="0" applyNumberFormat="1" applyFont="1" applyBorder="1"/>
    <xf numFmtId="0" fontId="24" fillId="0" borderId="1" xfId="0" applyFont="1" applyBorder="1"/>
    <xf numFmtId="43" fontId="24" fillId="0" borderId="1" xfId="1" applyFont="1" applyBorder="1"/>
    <xf numFmtId="16" fontId="20" fillId="0" borderId="3" xfId="0" applyNumberFormat="1" applyFont="1" applyBorder="1"/>
    <xf numFmtId="0" fontId="20" fillId="0" borderId="3" xfId="0" applyFont="1" applyBorder="1"/>
    <xf numFmtId="43" fontId="20" fillId="0" borderId="3" xfId="1" applyFont="1" applyBorder="1"/>
    <xf numFmtId="16" fontId="20" fillId="0" borderId="16" xfId="0" applyNumberFormat="1" applyFont="1" applyBorder="1"/>
    <xf numFmtId="0" fontId="20" fillId="0" borderId="16" xfId="0" applyFont="1" applyBorder="1"/>
    <xf numFmtId="43" fontId="20" fillId="0" borderId="16" xfId="1" applyFont="1" applyBorder="1"/>
    <xf numFmtId="16" fontId="20" fillId="0" borderId="4" xfId="0" applyNumberFormat="1" applyFont="1" applyBorder="1"/>
    <xf numFmtId="0" fontId="20" fillId="0" borderId="4" xfId="0" applyFont="1" applyBorder="1"/>
    <xf numFmtId="43" fontId="20" fillId="0" borderId="4" xfId="1" applyFont="1" applyBorder="1"/>
    <xf numFmtId="0" fontId="21" fillId="0" borderId="0" xfId="0" applyFont="1"/>
    <xf numFmtId="15" fontId="23" fillId="0" borderId="1" xfId="0" applyNumberFormat="1" applyFont="1" applyBorder="1"/>
    <xf numFmtId="0" fontId="13" fillId="0" borderId="2" xfId="0" applyFont="1" applyBorder="1"/>
    <xf numFmtId="16" fontId="21" fillId="0" borderId="0" xfId="0" applyNumberFormat="1" applyFont="1"/>
    <xf numFmtId="16" fontId="20" fillId="0" borderId="0" xfId="0" applyNumberFormat="1" applyFont="1"/>
    <xf numFmtId="16" fontId="25" fillId="0" borderId="1" xfId="0" applyNumberFormat="1" applyFont="1" applyBorder="1"/>
    <xf numFmtId="0" fontId="17" fillId="0" borderId="0" xfId="0" applyFont="1" applyBorder="1" applyAlignment="1">
      <alignment horizontal="center"/>
    </xf>
    <xf numFmtId="43" fontId="17" fillId="3" borderId="0" xfId="1" applyFont="1" applyFill="1" applyBorder="1"/>
    <xf numFmtId="0" fontId="14" fillId="0" borderId="0" xfId="0" applyFont="1"/>
    <xf numFmtId="164" fontId="20" fillId="0" borderId="1" xfId="0" applyNumberFormat="1" applyFont="1" applyBorder="1"/>
    <xf numFmtId="164" fontId="22" fillId="0" borderId="1" xfId="0" applyNumberFormat="1" applyFont="1" applyBorder="1"/>
    <xf numFmtId="164" fontId="26" fillId="0" borderId="1" xfId="0" applyNumberFormat="1" applyFont="1" applyBorder="1"/>
    <xf numFmtId="0" fontId="26" fillId="0" borderId="1" xfId="0" applyFont="1" applyBorder="1"/>
    <xf numFmtId="164" fontId="21" fillId="0" borderId="1" xfId="0" applyNumberFormat="1" applyFont="1" applyBorder="1"/>
    <xf numFmtId="164" fontId="22" fillId="0" borderId="3" xfId="0" applyNumberFormat="1" applyFont="1" applyBorder="1"/>
    <xf numFmtId="0" fontId="22" fillId="0" borderId="3" xfId="0" applyFont="1" applyBorder="1"/>
    <xf numFmtId="164" fontId="22" fillId="0" borderId="4" xfId="0" applyNumberFormat="1" applyFont="1" applyBorder="1"/>
    <xf numFmtId="0" fontId="20" fillId="3" borderId="3" xfId="0" applyFont="1" applyFill="1" applyBorder="1"/>
    <xf numFmtId="0" fontId="20" fillId="3" borderId="4" xfId="0" applyFont="1" applyFill="1" applyBorder="1"/>
    <xf numFmtId="15" fontId="20" fillId="3" borderId="1" xfId="0" applyNumberFormat="1" applyFont="1" applyFill="1" applyBorder="1"/>
    <xf numFmtId="15" fontId="20" fillId="2" borderId="1" xfId="0" applyNumberFormat="1" applyFont="1" applyFill="1" applyBorder="1"/>
    <xf numFmtId="0" fontId="20" fillId="0" borderId="0" xfId="0" applyFont="1" applyAlignment="1">
      <alignment horizontal="center"/>
    </xf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43" fontId="26" fillId="0" borderId="1" xfId="1" applyFont="1" applyBorder="1"/>
    <xf numFmtId="43" fontId="22" fillId="0" borderId="3" xfId="1" applyFont="1" applyBorder="1"/>
    <xf numFmtId="43" fontId="20" fillId="3" borderId="3" xfId="1" applyFont="1" applyFill="1" applyBorder="1"/>
    <xf numFmtId="43" fontId="20" fillId="3" borderId="4" xfId="1" applyFont="1" applyFill="1" applyBorder="1"/>
    <xf numFmtId="43" fontId="22" fillId="3" borderId="1" xfId="1" applyFont="1" applyFill="1" applyBorder="1"/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9" fillId="0" borderId="8" xfId="0" applyFont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00"/>
      <color rgb="FFCC3399"/>
      <color rgb="FFFFD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worksheet" Target="worksheets/sheet2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'20W-50'!$A$6</c:f>
              <c:strCache>
                <c:ptCount val="1"/>
                <c:pt idx="0">
                  <c:v>Date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'20W-50'!$A$7:$A$27</c:f>
              <c:numCache>
                <c:formatCode>d\-mmm\-yy</c:formatCode>
                <c:ptCount val="21"/>
                <c:pt idx="0">
                  <c:v>45809</c:v>
                </c:pt>
                <c:pt idx="1">
                  <c:v>45809</c:v>
                </c:pt>
                <c:pt idx="2">
                  <c:v>45815</c:v>
                </c:pt>
                <c:pt idx="3">
                  <c:v>45883</c:v>
                </c:pt>
                <c:pt idx="4">
                  <c:v>45962</c:v>
                </c:pt>
                <c:pt idx="5">
                  <c:v>46028</c:v>
                </c:pt>
                <c:pt idx="6">
                  <c:v>46060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D4-4BDC-B99B-1E578D435E87}"/>
            </c:ext>
          </c:extLst>
        </c:ser>
        <c:ser>
          <c:idx val="1"/>
          <c:order val="1"/>
          <c:tx>
            <c:strRef>
              <c:f>'20W-50'!$B$6</c:f>
              <c:strCache>
                <c:ptCount val="1"/>
                <c:pt idx="0">
                  <c:v>MR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'20W-50'!$B$7:$B$27</c:f>
              <c:numCache>
                <c:formatCode>General</c:formatCode>
                <c:ptCount val="21"/>
                <c:pt idx="4">
                  <c:v>81404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8D4-4BDC-B99B-1E578D435E87}"/>
            </c:ext>
          </c:extLst>
        </c:ser>
        <c:ser>
          <c:idx val="2"/>
          <c:order val="2"/>
          <c:tx>
            <c:strRef>
              <c:f>'20W-50'!$C$6</c:f>
              <c:strCache>
                <c:ptCount val="1"/>
                <c:pt idx="0">
                  <c:v>MTN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'20W-50'!$C$7:$C$27</c:f>
              <c:numCache>
                <c:formatCode>General</c:formatCode>
                <c:ptCount val="21"/>
                <c:pt idx="4">
                  <c:v>71347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8D4-4BDC-B99B-1E578D435E87}"/>
            </c:ext>
          </c:extLst>
        </c:ser>
        <c:ser>
          <c:idx val="3"/>
          <c:order val="3"/>
          <c:tx>
            <c:strRef>
              <c:f>'20W-50'!$D$6</c:f>
              <c:strCache>
                <c:ptCount val="1"/>
                <c:pt idx="0">
                  <c:v>Description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'20W-50'!$D$7:$D$27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98D4-4BDC-B99B-1E578D435E87}"/>
            </c:ext>
          </c:extLst>
        </c:ser>
        <c:ser>
          <c:idx val="4"/>
          <c:order val="4"/>
          <c:tx>
            <c:strRef>
              <c:f>'20W-50'!$E$6</c:f>
              <c:strCache>
                <c:ptCount val="1"/>
                <c:pt idx="0">
                  <c:v>Received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'20W-50'!$E$7:$E$27</c:f>
              <c:numCache>
                <c:formatCode>_(* #,##0.00_);_(* \(#,##0.00\);_(* "-"??_);_(@_)</c:formatCode>
                <c:ptCount val="2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8D4-4BDC-B99B-1E578D435E87}"/>
            </c:ext>
          </c:extLst>
        </c:ser>
        <c:ser>
          <c:idx val="5"/>
          <c:order val="5"/>
          <c:tx>
            <c:strRef>
              <c:f>'20W-50'!$F$6</c:f>
              <c:strCache>
                <c:ptCount val="1"/>
                <c:pt idx="0">
                  <c:v>Issued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'20W-50'!$F$7:$F$27</c:f>
              <c:numCache>
                <c:formatCode>_(* #,##0.00_);_(* \(#,##0.00\);_(* "-"??_);_(@_)</c:formatCode>
                <c:ptCount val="21"/>
                <c:pt idx="1">
                  <c:v>0.5</c:v>
                </c:pt>
                <c:pt idx="2">
                  <c:v>0.5</c:v>
                </c:pt>
                <c:pt idx="3">
                  <c:v>53</c:v>
                </c:pt>
                <c:pt idx="4">
                  <c:v>30</c:v>
                </c:pt>
                <c:pt idx="5">
                  <c:v>6.5</c:v>
                </c:pt>
                <c:pt idx="6">
                  <c:v>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8D4-4BDC-B99B-1E578D435E87}"/>
            </c:ext>
          </c:extLst>
        </c:ser>
        <c:ser>
          <c:idx val="6"/>
          <c:order val="6"/>
          <c:tx>
            <c:strRef>
              <c:f>'20W-50'!$G$6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'20W-50'!$G$7:$G$27</c:f>
              <c:numCache>
                <c:formatCode>_(* #,##0.00_);_(* \(#,##0.00\);_(* "-"??_);_(@_)</c:formatCode>
                <c:ptCount val="21"/>
                <c:pt idx="0">
                  <c:v>154</c:v>
                </c:pt>
                <c:pt idx="1">
                  <c:v>153.5</c:v>
                </c:pt>
                <c:pt idx="2">
                  <c:v>153</c:v>
                </c:pt>
                <c:pt idx="3">
                  <c:v>100</c:v>
                </c:pt>
                <c:pt idx="4">
                  <c:v>70</c:v>
                </c:pt>
                <c:pt idx="5">
                  <c:v>63.5</c:v>
                </c:pt>
                <c:pt idx="6">
                  <c:v>56.5</c:v>
                </c:pt>
                <c:pt idx="7">
                  <c:v>56.5</c:v>
                </c:pt>
                <c:pt idx="8">
                  <c:v>56.5</c:v>
                </c:pt>
                <c:pt idx="9">
                  <c:v>56.5</c:v>
                </c:pt>
                <c:pt idx="10">
                  <c:v>56.5</c:v>
                </c:pt>
                <c:pt idx="11">
                  <c:v>56.5</c:v>
                </c:pt>
                <c:pt idx="12">
                  <c:v>56.5</c:v>
                </c:pt>
                <c:pt idx="13">
                  <c:v>56.5</c:v>
                </c:pt>
                <c:pt idx="14">
                  <c:v>56.5</c:v>
                </c:pt>
                <c:pt idx="15">
                  <c:v>56.5</c:v>
                </c:pt>
                <c:pt idx="16">
                  <c:v>56.5</c:v>
                </c:pt>
                <c:pt idx="17">
                  <c:v>56.5</c:v>
                </c:pt>
                <c:pt idx="18">
                  <c:v>56.5</c:v>
                </c:pt>
                <c:pt idx="19">
                  <c:v>56.5</c:v>
                </c:pt>
                <c:pt idx="20">
                  <c:v>56.5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98D4-4BDC-B99B-1E578D435E87}"/>
            </c:ext>
          </c:extLst>
        </c:ser>
        <c:ser>
          <c:idx val="7"/>
          <c:order val="7"/>
          <c:tx>
            <c:strRef>
              <c:f>'20W-50'!$H$6</c:f>
              <c:strCache>
                <c:ptCount val="1"/>
                <c:pt idx="0">
                  <c:v>Remark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'20W-50'!$H$7:$H$27</c:f>
              <c:numCache>
                <c:formatCode>General</c:formatCode>
                <c:ptCount val="2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98D4-4BDC-B99B-1E578D435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7363240"/>
        <c:axId val="487362064"/>
      </c:barChart>
      <c:catAx>
        <c:axId val="487363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362064"/>
        <c:crosses val="autoZero"/>
        <c:auto val="1"/>
        <c:lblAlgn val="ctr"/>
        <c:lblOffset val="100"/>
        <c:noMultiLvlLbl val="0"/>
      </c:catAx>
      <c:valAx>
        <c:axId val="48736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363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8311" cy="6281351"/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8"/>
  <sheetViews>
    <sheetView zoomScale="60" zoomScaleNormal="60" workbookViewId="0">
      <selection activeCell="D25" sqref="D25"/>
    </sheetView>
  </sheetViews>
  <sheetFormatPr defaultRowHeight="15" x14ac:dyDescent="0.25"/>
  <cols>
    <col min="1" max="1" width="9.140625" style="31"/>
    <col min="2" max="2" width="15.5703125" style="31" customWidth="1"/>
    <col min="3" max="3" width="57.42578125" style="31" customWidth="1"/>
    <col min="4" max="4" width="35.85546875" style="44" customWidth="1"/>
    <col min="5" max="16384" width="9.140625" style="31"/>
  </cols>
  <sheetData>
    <row r="1" spans="2:13" ht="32.25" customHeight="1" x14ac:dyDescent="0.45">
      <c r="B1" s="45" t="s">
        <v>525</v>
      </c>
      <c r="C1" s="45"/>
      <c r="D1" s="63"/>
      <c r="E1" s="46"/>
    </row>
    <row r="2" spans="2:13" ht="32.25" customHeight="1" x14ac:dyDescent="0.45">
      <c r="B2" s="45"/>
      <c r="C2" s="45"/>
      <c r="D2" s="63"/>
      <c r="E2" s="46"/>
    </row>
    <row r="3" spans="2:13" ht="33" x14ac:dyDescent="0.45">
      <c r="B3" s="47" t="s">
        <v>53</v>
      </c>
      <c r="C3" s="47" t="s">
        <v>168</v>
      </c>
      <c r="D3" s="64" t="s">
        <v>169</v>
      </c>
      <c r="E3" s="46"/>
    </row>
    <row r="4" spans="2:13" ht="33" x14ac:dyDescent="0.45">
      <c r="B4" s="47">
        <v>1</v>
      </c>
      <c r="C4" s="47" t="s">
        <v>515</v>
      </c>
      <c r="D4" s="65">
        <f>'15W40(CI-04)Valvoline'!$G$277</f>
        <v>205.25</v>
      </c>
      <c r="E4" s="46"/>
    </row>
    <row r="5" spans="2:13" ht="33" x14ac:dyDescent="0.45">
      <c r="B5" s="47">
        <v>2</v>
      </c>
      <c r="C5" s="47" t="s">
        <v>516</v>
      </c>
      <c r="D5" s="65">
        <f>'15W40(servo)'!$G$74</f>
        <v>88</v>
      </c>
      <c r="E5" s="46"/>
    </row>
    <row r="6" spans="2:13" ht="33" x14ac:dyDescent="0.45">
      <c r="B6" s="47">
        <v>3</v>
      </c>
      <c r="C6" s="47" t="s">
        <v>517</v>
      </c>
      <c r="D6" s="65">
        <f>'15W40(Delogold)'!$G$26</f>
        <v>0</v>
      </c>
      <c r="E6" s="46"/>
    </row>
    <row r="7" spans="2:13" ht="33" x14ac:dyDescent="0.45">
      <c r="B7" s="47">
        <v>4</v>
      </c>
      <c r="C7" s="47" t="s">
        <v>101</v>
      </c>
      <c r="D7" s="65">
        <f>'DS-10 Oil'!$G$31</f>
        <v>145</v>
      </c>
      <c r="E7" s="46"/>
    </row>
    <row r="8" spans="2:13" ht="33" x14ac:dyDescent="0.45">
      <c r="B8" s="47">
        <v>5</v>
      </c>
      <c r="C8" s="47" t="s">
        <v>527</v>
      </c>
      <c r="D8" s="65">
        <f>'20W-50'!$G$32</f>
        <v>56.5</v>
      </c>
      <c r="E8" s="46"/>
      <c r="M8" s="82">
        <f>'SERVO-68 HY-OIL'!$G$18</f>
        <v>0</v>
      </c>
    </row>
    <row r="9" spans="2:13" ht="33" x14ac:dyDescent="0.45">
      <c r="B9" s="47">
        <v>6</v>
      </c>
      <c r="C9" s="47" t="s">
        <v>102</v>
      </c>
      <c r="D9" s="65">
        <f>'SAE-30'!$G$35</f>
        <v>43</v>
      </c>
      <c r="E9" s="46"/>
    </row>
    <row r="10" spans="2:13" ht="33" x14ac:dyDescent="0.45">
      <c r="B10" s="47">
        <v>7</v>
      </c>
      <c r="C10" s="47" t="s">
        <v>526</v>
      </c>
      <c r="D10" s="65">
        <f>'HD-68 Hy-Oil Caltex'!$G$312</f>
        <v>123.25</v>
      </c>
      <c r="E10" s="46"/>
    </row>
    <row r="11" spans="2:13" ht="33" x14ac:dyDescent="0.45">
      <c r="B11" s="47">
        <v>8</v>
      </c>
      <c r="C11" s="47" t="s">
        <v>174</v>
      </c>
      <c r="D11" s="65">
        <f>'SERVO-68 HY-OIL'!$G$18</f>
        <v>0</v>
      </c>
      <c r="E11" s="46"/>
    </row>
    <row r="12" spans="2:13" ht="33" x14ac:dyDescent="0.45">
      <c r="B12" s="47">
        <v>9</v>
      </c>
      <c r="C12" s="47" t="s">
        <v>518</v>
      </c>
      <c r="D12" s="65">
        <f>'HD-46 Hy-Oil-Caltex'!$G$36</f>
        <v>89</v>
      </c>
      <c r="E12" s="46"/>
    </row>
    <row r="13" spans="2:13" ht="33" x14ac:dyDescent="0.45">
      <c r="B13" s="47">
        <v>10</v>
      </c>
      <c r="C13" s="47" t="s">
        <v>519</v>
      </c>
      <c r="D13" s="65">
        <f>'HD-46 Hy Oil SERVO'!$G$21</f>
        <v>0</v>
      </c>
      <c r="E13" s="46"/>
    </row>
    <row r="14" spans="2:13" ht="33" x14ac:dyDescent="0.45">
      <c r="B14" s="47">
        <v>11</v>
      </c>
      <c r="C14" s="48" t="s">
        <v>136</v>
      </c>
      <c r="D14" s="65">
        <f>'Power Oil-1888'!$G$110</f>
        <v>94</v>
      </c>
      <c r="E14" s="46"/>
    </row>
    <row r="15" spans="2:13" ht="33" x14ac:dyDescent="0.45">
      <c r="B15" s="47">
        <v>12</v>
      </c>
      <c r="C15" s="47" t="s">
        <v>141</v>
      </c>
      <c r="D15" s="65">
        <f>'MP-90 Gear Oil'!$G$137</f>
        <v>71.5</v>
      </c>
      <c r="E15" s="46"/>
      <c r="J15" s="31" t="s">
        <v>216</v>
      </c>
    </row>
    <row r="16" spans="2:13" ht="33" x14ac:dyDescent="0.45">
      <c r="B16" s="47">
        <v>13</v>
      </c>
      <c r="C16" s="47" t="s">
        <v>520</v>
      </c>
      <c r="D16" s="65">
        <f>'80W90 (Caltex)'!$G$115</f>
        <v>34</v>
      </c>
      <c r="E16" s="46"/>
    </row>
    <row r="17" spans="2:13" ht="33" x14ac:dyDescent="0.45">
      <c r="B17" s="47">
        <v>14</v>
      </c>
      <c r="C17" s="47" t="s">
        <v>521</v>
      </c>
      <c r="D17" s="65">
        <f>'80W90 G-Oil (Servo)'!$G$62</f>
        <v>63.5</v>
      </c>
      <c r="E17" s="46"/>
    </row>
    <row r="18" spans="2:13" ht="33" x14ac:dyDescent="0.45">
      <c r="B18" s="47">
        <v>15</v>
      </c>
      <c r="C18" s="47" t="s">
        <v>30</v>
      </c>
      <c r="D18" s="65">
        <f>'MP-140 G-Oil'!$G$62</f>
        <v>124</v>
      </c>
      <c r="E18" s="46"/>
    </row>
    <row r="19" spans="2:13" ht="33" x14ac:dyDescent="0.45">
      <c r="B19" s="47">
        <v>16</v>
      </c>
      <c r="C19" s="47" t="s">
        <v>167</v>
      </c>
      <c r="D19" s="65">
        <f>Grease!$G$201</f>
        <v>203.25</v>
      </c>
      <c r="E19" s="46"/>
      <c r="M19" s="31" t="s">
        <v>216</v>
      </c>
    </row>
    <row r="20" spans="2:13" ht="33" x14ac:dyDescent="0.45">
      <c r="B20" s="47">
        <v>17</v>
      </c>
      <c r="C20" s="47" t="s">
        <v>522</v>
      </c>
      <c r="D20" s="65">
        <f>'K-Oil'!$G$324</f>
        <v>3</v>
      </c>
      <c r="E20" s="46"/>
    </row>
    <row r="21" spans="2:13" ht="33" x14ac:dyDescent="0.45">
      <c r="B21" s="47">
        <v>18</v>
      </c>
      <c r="C21" s="47" t="s">
        <v>523</v>
      </c>
      <c r="D21" s="65">
        <f>PETROL!$G$39</f>
        <v>1.1499999999999999</v>
      </c>
      <c r="E21" s="46"/>
    </row>
    <row r="22" spans="2:13" ht="33" x14ac:dyDescent="0.45">
      <c r="B22" s="47">
        <v>19</v>
      </c>
      <c r="C22" s="47" t="s">
        <v>524</v>
      </c>
      <c r="D22" s="66">
        <f>'HUB GREASE'!$G$20</f>
        <v>4.5</v>
      </c>
      <c r="E22" s="46"/>
    </row>
    <row r="23" spans="2:13" ht="33" x14ac:dyDescent="0.45">
      <c r="B23" s="124"/>
      <c r="C23" s="124"/>
      <c r="D23" s="125"/>
      <c r="E23" s="46"/>
    </row>
    <row r="24" spans="2:13" ht="33" x14ac:dyDescent="0.45">
      <c r="B24" s="124"/>
      <c r="C24" s="124"/>
      <c r="D24" s="125"/>
      <c r="E24" s="46"/>
    </row>
    <row r="25" spans="2:13" ht="33" x14ac:dyDescent="0.45">
      <c r="B25" s="124"/>
      <c r="C25" s="124"/>
      <c r="D25" s="125"/>
      <c r="E25" s="46"/>
    </row>
    <row r="26" spans="2:13" ht="33" x14ac:dyDescent="0.45">
      <c r="B26" s="46"/>
      <c r="C26" s="46"/>
      <c r="D26" s="67"/>
      <c r="E26" s="46"/>
    </row>
    <row r="27" spans="2:13" ht="33" x14ac:dyDescent="0.45">
      <c r="B27" s="46"/>
      <c r="C27" s="46" t="s">
        <v>170</v>
      </c>
      <c r="D27" s="67"/>
      <c r="E27" s="46"/>
    </row>
    <row r="28" spans="2:13" ht="33" x14ac:dyDescent="0.45">
      <c r="B28" s="46"/>
      <c r="C28" s="46" t="s">
        <v>171</v>
      </c>
      <c r="D28" s="67"/>
      <c r="E28" s="46"/>
    </row>
  </sheetData>
  <phoneticPr fontId="2" type="noConversion"/>
  <pageMargins left="0.32" right="0.22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7"/>
  <sheetViews>
    <sheetView topLeftCell="A124" workbookViewId="0">
      <pane ySplit="2100" topLeftCell="A243" activePane="bottomLeft"/>
      <selection activeCell="E124" sqref="E1:H1048576"/>
      <selection pane="bottomLeft" activeCell="N257" sqref="N257"/>
    </sheetView>
  </sheetViews>
  <sheetFormatPr defaultRowHeight="15" x14ac:dyDescent="0.25"/>
  <cols>
    <col min="1" max="1" width="13.7109375" style="31" customWidth="1"/>
    <col min="2" max="3" width="9.140625" style="31"/>
    <col min="4" max="4" width="26.140625" style="31" customWidth="1"/>
    <col min="5" max="7" width="11.28515625" style="44" bestFit="1" customWidth="1"/>
    <col min="8" max="8" width="14.5703125" style="44" bestFit="1" customWidth="1"/>
    <col min="9" max="16384" width="9.140625" style="31"/>
  </cols>
  <sheetData>
    <row r="1" spans="1:9" x14ac:dyDescent="0.25">
      <c r="A1" s="31" t="s">
        <v>0</v>
      </c>
    </row>
    <row r="2" spans="1:9" x14ac:dyDescent="0.25">
      <c r="A2" s="31" t="s">
        <v>1</v>
      </c>
    </row>
    <row r="3" spans="1:9" x14ac:dyDescent="0.25">
      <c r="A3" s="31" t="s">
        <v>2</v>
      </c>
    </row>
    <row r="4" spans="1:9" x14ac:dyDescent="0.25">
      <c r="A4" s="35" t="s">
        <v>3</v>
      </c>
    </row>
    <row r="6" spans="1:9" ht="16.5" x14ac:dyDescent="0.25">
      <c r="A6" s="59" t="s">
        <v>4</v>
      </c>
      <c r="B6" s="59" t="s">
        <v>6</v>
      </c>
      <c r="C6" s="59" t="s">
        <v>5</v>
      </c>
      <c r="D6" s="59" t="s">
        <v>7</v>
      </c>
      <c r="E6" s="62" t="s">
        <v>8</v>
      </c>
      <c r="F6" s="62" t="s">
        <v>9</v>
      </c>
      <c r="G6" s="62" t="s">
        <v>10</v>
      </c>
      <c r="H6" s="62" t="s">
        <v>11</v>
      </c>
      <c r="I6" s="57"/>
    </row>
    <row r="7" spans="1:9" ht="16.5" x14ac:dyDescent="0.25">
      <c r="A7" s="127">
        <v>45981</v>
      </c>
      <c r="B7" s="59"/>
      <c r="C7" s="59"/>
      <c r="D7" s="59" t="s">
        <v>238</v>
      </c>
      <c r="E7" s="62"/>
      <c r="F7" s="62"/>
      <c r="G7" s="62">
        <v>28</v>
      </c>
      <c r="H7" s="62"/>
      <c r="I7" s="57"/>
    </row>
    <row r="8" spans="1:9" ht="16.5" x14ac:dyDescent="0.25">
      <c r="A8" s="128">
        <v>45983</v>
      </c>
      <c r="B8" s="78"/>
      <c r="C8" s="78"/>
      <c r="D8" s="78" t="s">
        <v>239</v>
      </c>
      <c r="E8" s="80"/>
      <c r="F8" s="80">
        <v>1</v>
      </c>
      <c r="G8" s="80">
        <f>G7+E8-F8</f>
        <v>27</v>
      </c>
      <c r="H8" s="80"/>
      <c r="I8" s="57"/>
    </row>
    <row r="9" spans="1:9" ht="16.5" x14ac:dyDescent="0.25">
      <c r="A9" s="127">
        <v>45983</v>
      </c>
      <c r="B9" s="59"/>
      <c r="C9" s="59"/>
      <c r="D9" s="59" t="s">
        <v>240</v>
      </c>
      <c r="E9" s="62"/>
      <c r="F9" s="62">
        <v>2</v>
      </c>
      <c r="G9" s="62">
        <f t="shared" ref="G9:G33" si="0">G8+E9-F9</f>
        <v>25</v>
      </c>
      <c r="H9" s="62"/>
      <c r="I9" s="57"/>
    </row>
    <row r="10" spans="1:9" ht="16.5" x14ac:dyDescent="0.25">
      <c r="A10" s="127">
        <v>45984</v>
      </c>
      <c r="B10" s="59">
        <v>127651</v>
      </c>
      <c r="C10" s="59">
        <v>64972</v>
      </c>
      <c r="D10" s="59" t="s">
        <v>221</v>
      </c>
      <c r="E10" s="62"/>
      <c r="F10" s="62">
        <v>20</v>
      </c>
      <c r="G10" s="62">
        <f t="shared" si="0"/>
        <v>5</v>
      </c>
      <c r="H10" s="62"/>
      <c r="I10" s="57"/>
    </row>
    <row r="11" spans="1:9" ht="16.5" x14ac:dyDescent="0.25">
      <c r="A11" s="129">
        <v>45984</v>
      </c>
      <c r="B11" s="130"/>
      <c r="C11" s="130"/>
      <c r="D11" s="130" t="s">
        <v>103</v>
      </c>
      <c r="E11" s="143">
        <v>11</v>
      </c>
      <c r="F11" s="143"/>
      <c r="G11" s="143">
        <f t="shared" si="0"/>
        <v>16</v>
      </c>
      <c r="H11" s="143"/>
      <c r="I11" s="57"/>
    </row>
    <row r="12" spans="1:9" ht="16.5" x14ac:dyDescent="0.25">
      <c r="A12" s="127">
        <v>45984</v>
      </c>
      <c r="B12" s="59"/>
      <c r="C12" s="59"/>
      <c r="D12" s="59" t="s">
        <v>206</v>
      </c>
      <c r="E12" s="62"/>
      <c r="F12" s="62">
        <v>16</v>
      </c>
      <c r="G12" s="62">
        <f t="shared" si="0"/>
        <v>0</v>
      </c>
      <c r="H12" s="62"/>
      <c r="I12" s="57"/>
    </row>
    <row r="13" spans="1:9" ht="16.5" x14ac:dyDescent="0.25">
      <c r="A13" s="131">
        <v>46000</v>
      </c>
      <c r="B13" s="72">
        <v>141251</v>
      </c>
      <c r="C13" s="72"/>
      <c r="D13" s="72" t="s">
        <v>129</v>
      </c>
      <c r="E13" s="73">
        <v>200</v>
      </c>
      <c r="F13" s="73"/>
      <c r="G13" s="62">
        <f t="shared" si="0"/>
        <v>200</v>
      </c>
      <c r="H13" s="73"/>
      <c r="I13" s="57"/>
    </row>
    <row r="14" spans="1:9" ht="16.5" x14ac:dyDescent="0.25">
      <c r="A14" s="128">
        <v>46000</v>
      </c>
      <c r="B14" s="78"/>
      <c r="C14" s="78"/>
      <c r="D14" s="78" t="s">
        <v>17</v>
      </c>
      <c r="E14" s="80"/>
      <c r="F14" s="80">
        <v>5</v>
      </c>
      <c r="G14" s="80">
        <f t="shared" si="0"/>
        <v>195</v>
      </c>
      <c r="H14" s="73"/>
      <c r="I14" s="57"/>
    </row>
    <row r="15" spans="1:9" ht="16.5" x14ac:dyDescent="0.25">
      <c r="A15" s="128">
        <v>46000</v>
      </c>
      <c r="B15" s="78"/>
      <c r="C15" s="78"/>
      <c r="D15" s="78" t="s">
        <v>249</v>
      </c>
      <c r="E15" s="80"/>
      <c r="F15" s="80">
        <v>15</v>
      </c>
      <c r="G15" s="80">
        <f t="shared" si="0"/>
        <v>180</v>
      </c>
      <c r="H15" s="80"/>
      <c r="I15" s="57"/>
    </row>
    <row r="16" spans="1:9" ht="16.5" x14ac:dyDescent="0.25">
      <c r="A16" s="128">
        <v>46001</v>
      </c>
      <c r="B16" s="78"/>
      <c r="C16" s="78"/>
      <c r="D16" s="78" t="s">
        <v>234</v>
      </c>
      <c r="E16" s="80"/>
      <c r="F16" s="80">
        <v>2</v>
      </c>
      <c r="G16" s="80">
        <f t="shared" si="0"/>
        <v>178</v>
      </c>
      <c r="H16" s="80"/>
      <c r="I16" s="57"/>
    </row>
    <row r="17" spans="1:9" ht="16.5" x14ac:dyDescent="0.25">
      <c r="A17" s="128">
        <v>46001</v>
      </c>
      <c r="B17" s="78"/>
      <c r="C17" s="78"/>
      <c r="D17" s="78" t="s">
        <v>250</v>
      </c>
      <c r="E17" s="80"/>
      <c r="F17" s="80">
        <v>13</v>
      </c>
      <c r="G17" s="80">
        <f t="shared" si="0"/>
        <v>165</v>
      </c>
      <c r="H17" s="80"/>
      <c r="I17" s="57"/>
    </row>
    <row r="18" spans="1:9" ht="16.5" x14ac:dyDescent="0.25">
      <c r="A18" s="128">
        <v>46001</v>
      </c>
      <c r="B18" s="78"/>
      <c r="C18" s="78"/>
      <c r="D18" s="78" t="s">
        <v>18</v>
      </c>
      <c r="E18" s="80"/>
      <c r="F18" s="80">
        <v>15</v>
      </c>
      <c r="G18" s="80">
        <f t="shared" si="0"/>
        <v>150</v>
      </c>
      <c r="H18" s="80"/>
      <c r="I18" s="57"/>
    </row>
    <row r="19" spans="1:9" ht="16.5" x14ac:dyDescent="0.25">
      <c r="A19" s="128">
        <v>46001</v>
      </c>
      <c r="B19" s="78"/>
      <c r="C19" s="78"/>
      <c r="D19" s="78" t="s">
        <v>251</v>
      </c>
      <c r="E19" s="80"/>
      <c r="F19" s="80">
        <v>6</v>
      </c>
      <c r="G19" s="80">
        <f t="shared" si="0"/>
        <v>144</v>
      </c>
      <c r="H19" s="80"/>
      <c r="I19" s="57"/>
    </row>
    <row r="20" spans="1:9" ht="16.5" x14ac:dyDescent="0.25">
      <c r="A20" s="128">
        <v>45940</v>
      </c>
      <c r="B20" s="78"/>
      <c r="C20" s="78"/>
      <c r="D20" s="78" t="s">
        <v>252</v>
      </c>
      <c r="E20" s="80"/>
      <c r="F20" s="80">
        <v>1</v>
      </c>
      <c r="G20" s="80">
        <f t="shared" si="0"/>
        <v>143</v>
      </c>
      <c r="H20" s="80"/>
      <c r="I20" s="57"/>
    </row>
    <row r="21" spans="1:9" ht="16.5" x14ac:dyDescent="0.25">
      <c r="A21" s="128">
        <v>46001</v>
      </c>
      <c r="B21" s="78"/>
      <c r="C21" s="78">
        <v>71969</v>
      </c>
      <c r="D21" s="78" t="s">
        <v>100</v>
      </c>
      <c r="E21" s="80"/>
      <c r="F21" s="80">
        <v>5</v>
      </c>
      <c r="G21" s="80">
        <f t="shared" si="0"/>
        <v>138</v>
      </c>
      <c r="H21" s="80"/>
      <c r="I21" s="57"/>
    </row>
    <row r="22" spans="1:9" ht="16.5" x14ac:dyDescent="0.25">
      <c r="A22" s="128">
        <v>46002</v>
      </c>
      <c r="B22" s="78"/>
      <c r="C22" s="78"/>
      <c r="D22" s="78" t="s">
        <v>191</v>
      </c>
      <c r="E22" s="80"/>
      <c r="F22" s="80">
        <v>40</v>
      </c>
      <c r="G22" s="80">
        <f t="shared" si="0"/>
        <v>98</v>
      </c>
      <c r="H22" s="80"/>
      <c r="I22" s="57"/>
    </row>
    <row r="23" spans="1:9" ht="16.5" x14ac:dyDescent="0.25">
      <c r="A23" s="128">
        <v>46003</v>
      </c>
      <c r="B23" s="78"/>
      <c r="C23" s="78"/>
      <c r="D23" s="78" t="s">
        <v>253</v>
      </c>
      <c r="E23" s="80"/>
      <c r="F23" s="80">
        <v>2</v>
      </c>
      <c r="G23" s="80">
        <f t="shared" si="0"/>
        <v>96</v>
      </c>
      <c r="H23" s="80"/>
      <c r="I23" s="57"/>
    </row>
    <row r="24" spans="1:9" ht="16.5" x14ac:dyDescent="0.25">
      <c r="A24" s="128">
        <v>46003</v>
      </c>
      <c r="B24" s="78">
        <v>126910</v>
      </c>
      <c r="C24" s="78"/>
      <c r="D24" s="78" t="s">
        <v>160</v>
      </c>
      <c r="E24" s="80"/>
      <c r="F24" s="80">
        <v>10</v>
      </c>
      <c r="G24" s="80">
        <f t="shared" si="0"/>
        <v>86</v>
      </c>
      <c r="H24" s="80"/>
      <c r="I24" s="57"/>
    </row>
    <row r="25" spans="1:9" ht="16.5" x14ac:dyDescent="0.25">
      <c r="A25" s="128">
        <v>46003</v>
      </c>
      <c r="B25" s="78"/>
      <c r="C25" s="78"/>
      <c r="D25" s="78" t="s">
        <v>81</v>
      </c>
      <c r="E25" s="80"/>
      <c r="F25" s="80">
        <v>3</v>
      </c>
      <c r="G25" s="80">
        <f t="shared" si="0"/>
        <v>83</v>
      </c>
      <c r="H25" s="80"/>
      <c r="I25" s="57"/>
    </row>
    <row r="26" spans="1:9" ht="16.5" x14ac:dyDescent="0.25">
      <c r="A26" s="128">
        <v>46004</v>
      </c>
      <c r="B26" s="78"/>
      <c r="C26" s="78"/>
      <c r="D26" s="78" t="s">
        <v>24</v>
      </c>
      <c r="E26" s="80"/>
      <c r="F26" s="80">
        <v>14</v>
      </c>
      <c r="G26" s="80">
        <f t="shared" si="0"/>
        <v>69</v>
      </c>
      <c r="H26" s="80"/>
      <c r="I26" s="57"/>
    </row>
    <row r="27" spans="1:9" ht="18.75" customHeight="1" x14ac:dyDescent="0.25">
      <c r="A27" s="128">
        <v>46004</v>
      </c>
      <c r="B27" s="78">
        <v>2224</v>
      </c>
      <c r="C27" s="78">
        <v>64983</v>
      </c>
      <c r="D27" s="78" t="s">
        <v>42</v>
      </c>
      <c r="E27" s="80"/>
      <c r="F27" s="80">
        <v>50</v>
      </c>
      <c r="G27" s="80">
        <f>G26+E27-F27</f>
        <v>19</v>
      </c>
      <c r="H27" s="80"/>
      <c r="I27" s="57"/>
    </row>
    <row r="28" spans="1:9" ht="16.5" x14ac:dyDescent="0.25">
      <c r="A28" s="128">
        <v>46005</v>
      </c>
      <c r="B28" s="59"/>
      <c r="C28" s="59"/>
      <c r="D28" s="59" t="s">
        <v>241</v>
      </c>
      <c r="E28" s="62"/>
      <c r="F28" s="62">
        <v>0.5</v>
      </c>
      <c r="G28" s="80">
        <f>G27+E28-F28</f>
        <v>18.5</v>
      </c>
      <c r="H28" s="62"/>
      <c r="I28" s="57"/>
    </row>
    <row r="29" spans="1:9" ht="16.5" x14ac:dyDescent="0.25">
      <c r="A29" s="127">
        <v>46007</v>
      </c>
      <c r="B29" s="59"/>
      <c r="C29" s="59"/>
      <c r="D29" s="59" t="s">
        <v>242</v>
      </c>
      <c r="E29" s="62"/>
      <c r="F29" s="62">
        <v>15</v>
      </c>
      <c r="G29" s="62">
        <f t="shared" si="0"/>
        <v>3.5</v>
      </c>
      <c r="H29" s="62"/>
      <c r="I29" s="57"/>
    </row>
    <row r="30" spans="1:9" ht="16.5" x14ac:dyDescent="0.25">
      <c r="A30" s="131">
        <v>46007</v>
      </c>
      <c r="B30" s="72">
        <v>141259</v>
      </c>
      <c r="C30" s="72"/>
      <c r="D30" s="72" t="s">
        <v>129</v>
      </c>
      <c r="E30" s="73">
        <v>200</v>
      </c>
      <c r="F30" s="73"/>
      <c r="G30" s="73">
        <f t="shared" si="0"/>
        <v>203.5</v>
      </c>
      <c r="H30" s="143"/>
      <c r="I30" s="57"/>
    </row>
    <row r="31" spans="1:9" ht="16.5" x14ac:dyDescent="0.25">
      <c r="A31" s="128">
        <v>46008</v>
      </c>
      <c r="B31" s="78"/>
      <c r="C31" s="78"/>
      <c r="D31" s="78" t="s">
        <v>243</v>
      </c>
      <c r="E31" s="80"/>
      <c r="F31" s="80">
        <v>7</v>
      </c>
      <c r="G31" s="73">
        <f t="shared" si="0"/>
        <v>196.5</v>
      </c>
      <c r="H31" s="80"/>
      <c r="I31" s="57"/>
    </row>
    <row r="32" spans="1:9" ht="16.5" x14ac:dyDescent="0.25">
      <c r="A32" s="127">
        <v>46008</v>
      </c>
      <c r="B32" s="78"/>
      <c r="C32" s="78"/>
      <c r="D32" s="78" t="s">
        <v>244</v>
      </c>
      <c r="E32" s="80"/>
      <c r="F32" s="80">
        <v>15</v>
      </c>
      <c r="G32" s="80">
        <f t="shared" si="0"/>
        <v>181.5</v>
      </c>
      <c r="H32" s="80"/>
      <c r="I32" s="57"/>
    </row>
    <row r="33" spans="1:9" ht="16.5" x14ac:dyDescent="0.25">
      <c r="A33" s="128">
        <v>46008</v>
      </c>
      <c r="B33" s="59">
        <v>203560</v>
      </c>
      <c r="C33" s="59">
        <v>71979</v>
      </c>
      <c r="D33" s="59" t="s">
        <v>23</v>
      </c>
      <c r="E33" s="62"/>
      <c r="F33" s="62">
        <v>20</v>
      </c>
      <c r="G33" s="80">
        <f t="shared" si="0"/>
        <v>161.5</v>
      </c>
      <c r="H33" s="62"/>
      <c r="I33" s="57"/>
    </row>
    <row r="34" spans="1:9" ht="16.5" x14ac:dyDescent="0.25">
      <c r="A34" s="129">
        <v>46008</v>
      </c>
      <c r="B34" s="72">
        <v>141264</v>
      </c>
      <c r="C34" s="72"/>
      <c r="D34" s="72" t="s">
        <v>129</v>
      </c>
      <c r="E34" s="73">
        <v>200</v>
      </c>
      <c r="F34" s="73"/>
      <c r="G34" s="73">
        <f>G33+E34-F34</f>
        <v>361.5</v>
      </c>
      <c r="H34" s="73"/>
      <c r="I34" s="57"/>
    </row>
    <row r="35" spans="1:9" ht="16.5" x14ac:dyDescent="0.25">
      <c r="A35" s="128">
        <v>46008</v>
      </c>
      <c r="B35" s="78"/>
      <c r="C35" s="78"/>
      <c r="D35" s="59" t="s">
        <v>134</v>
      </c>
      <c r="E35" s="80"/>
      <c r="F35" s="80">
        <v>200</v>
      </c>
      <c r="G35" s="62">
        <f>G34+E35-F35</f>
        <v>161.5</v>
      </c>
      <c r="H35" s="80"/>
      <c r="I35" s="57"/>
    </row>
    <row r="36" spans="1:9" ht="16.5" x14ac:dyDescent="0.25">
      <c r="A36" s="128">
        <v>46009</v>
      </c>
      <c r="B36" s="59"/>
      <c r="C36" s="59"/>
      <c r="D36" s="59" t="s">
        <v>86</v>
      </c>
      <c r="E36" s="62"/>
      <c r="F36" s="62">
        <v>1</v>
      </c>
      <c r="G36" s="62">
        <f>G35+E36-F36</f>
        <v>160.5</v>
      </c>
      <c r="H36" s="62"/>
      <c r="I36" s="57"/>
    </row>
    <row r="37" spans="1:9" ht="16.5" x14ac:dyDescent="0.25">
      <c r="A37" s="127">
        <v>46009</v>
      </c>
      <c r="B37" s="59"/>
      <c r="C37" s="59"/>
      <c r="D37" s="59" t="s">
        <v>245</v>
      </c>
      <c r="E37" s="62"/>
      <c r="F37" s="62">
        <v>3</v>
      </c>
      <c r="G37" s="62">
        <f>G36+E37-F37</f>
        <v>157.5</v>
      </c>
      <c r="H37" s="62"/>
      <c r="I37" s="57"/>
    </row>
    <row r="38" spans="1:9" ht="16.5" x14ac:dyDescent="0.25">
      <c r="A38" s="127">
        <v>46009</v>
      </c>
      <c r="B38" s="59"/>
      <c r="C38" s="59"/>
      <c r="D38" s="59" t="s">
        <v>246</v>
      </c>
      <c r="E38" s="62"/>
      <c r="F38" s="62">
        <v>5</v>
      </c>
      <c r="G38" s="62">
        <f t="shared" ref="G38:G52" si="1">G37+E38-F38</f>
        <v>152.5</v>
      </c>
      <c r="H38" s="62"/>
      <c r="I38" s="57"/>
    </row>
    <row r="39" spans="1:9" ht="16.5" x14ac:dyDescent="0.25">
      <c r="A39" s="127">
        <v>46009</v>
      </c>
      <c r="B39" s="78"/>
      <c r="C39" s="78"/>
      <c r="D39" s="78" t="s">
        <v>247</v>
      </c>
      <c r="E39" s="80"/>
      <c r="F39" s="80">
        <v>15</v>
      </c>
      <c r="G39" s="80">
        <f t="shared" si="1"/>
        <v>137.5</v>
      </c>
      <c r="H39" s="80"/>
      <c r="I39" s="57"/>
    </row>
    <row r="40" spans="1:9" ht="16.5" x14ac:dyDescent="0.25">
      <c r="A40" s="128">
        <v>46009</v>
      </c>
      <c r="B40" s="59">
        <v>2223</v>
      </c>
      <c r="C40" s="59">
        <v>71982</v>
      </c>
      <c r="D40" s="59" t="s">
        <v>149</v>
      </c>
      <c r="E40" s="62"/>
      <c r="F40" s="62">
        <v>50</v>
      </c>
      <c r="G40" s="62">
        <f t="shared" si="1"/>
        <v>87.5</v>
      </c>
      <c r="H40" s="62"/>
      <c r="I40" s="57"/>
    </row>
    <row r="41" spans="1:9" ht="16.5" x14ac:dyDescent="0.25">
      <c r="A41" s="127">
        <v>46010</v>
      </c>
      <c r="B41" s="59"/>
      <c r="C41" s="59"/>
      <c r="D41" s="59" t="s">
        <v>57</v>
      </c>
      <c r="E41" s="62"/>
      <c r="F41" s="62">
        <v>2</v>
      </c>
      <c r="G41" s="62">
        <f t="shared" si="1"/>
        <v>85.5</v>
      </c>
      <c r="H41" s="62"/>
      <c r="I41" s="57"/>
    </row>
    <row r="42" spans="1:9" ht="16.5" x14ac:dyDescent="0.25">
      <c r="A42" s="129">
        <v>46010</v>
      </c>
      <c r="B42" s="130">
        <v>141272</v>
      </c>
      <c r="C42" s="130"/>
      <c r="D42" s="130" t="s">
        <v>129</v>
      </c>
      <c r="E42" s="143">
        <v>200</v>
      </c>
      <c r="F42" s="143"/>
      <c r="G42" s="143">
        <f t="shared" si="1"/>
        <v>285.5</v>
      </c>
      <c r="H42" s="62"/>
      <c r="I42" s="57"/>
    </row>
    <row r="43" spans="1:9" ht="16.5" x14ac:dyDescent="0.25">
      <c r="A43" s="127">
        <v>46010</v>
      </c>
      <c r="B43" s="59"/>
      <c r="C43" s="59"/>
      <c r="D43" s="59" t="s">
        <v>243</v>
      </c>
      <c r="E43" s="62"/>
      <c r="F43" s="62">
        <v>8</v>
      </c>
      <c r="G43" s="62">
        <f t="shared" si="1"/>
        <v>277.5</v>
      </c>
      <c r="H43" s="62"/>
      <c r="I43" s="57"/>
    </row>
    <row r="44" spans="1:9" ht="16.5" x14ac:dyDescent="0.25">
      <c r="A44" s="127">
        <v>46010</v>
      </c>
      <c r="B44" s="59"/>
      <c r="C44" s="59"/>
      <c r="D44" s="59" t="s">
        <v>248</v>
      </c>
      <c r="E44" s="62"/>
      <c r="F44" s="62">
        <v>10</v>
      </c>
      <c r="G44" s="62">
        <f t="shared" si="1"/>
        <v>267.5</v>
      </c>
      <c r="H44" s="62"/>
      <c r="I44" s="57"/>
    </row>
    <row r="45" spans="1:9" ht="16.5" x14ac:dyDescent="0.25">
      <c r="A45" s="127">
        <v>46011</v>
      </c>
      <c r="B45" s="59"/>
      <c r="C45" s="59"/>
      <c r="D45" s="59" t="s">
        <v>112</v>
      </c>
      <c r="E45" s="62"/>
      <c r="F45" s="62">
        <v>13</v>
      </c>
      <c r="G45" s="62">
        <f t="shared" si="1"/>
        <v>254.5</v>
      </c>
      <c r="H45" s="62"/>
      <c r="I45" s="57"/>
    </row>
    <row r="46" spans="1:9" ht="16.5" x14ac:dyDescent="0.25">
      <c r="A46" s="127">
        <v>46011</v>
      </c>
      <c r="B46" s="78"/>
      <c r="C46" s="78"/>
      <c r="D46" s="78" t="s">
        <v>155</v>
      </c>
      <c r="E46" s="80"/>
      <c r="F46" s="80">
        <v>16</v>
      </c>
      <c r="G46" s="80">
        <f t="shared" si="1"/>
        <v>238.5</v>
      </c>
      <c r="H46" s="80"/>
      <c r="I46" s="57"/>
    </row>
    <row r="47" spans="1:9" ht="16.5" x14ac:dyDescent="0.25">
      <c r="A47" s="128">
        <v>46011</v>
      </c>
      <c r="B47" s="59"/>
      <c r="C47" s="59"/>
      <c r="D47" s="59" t="s">
        <v>41</v>
      </c>
      <c r="E47" s="62"/>
      <c r="F47" s="62">
        <v>1</v>
      </c>
      <c r="G47" s="62">
        <f t="shared" si="1"/>
        <v>237.5</v>
      </c>
      <c r="H47" s="62"/>
      <c r="I47" s="57"/>
    </row>
    <row r="48" spans="1:9" ht="16.5" x14ac:dyDescent="0.25">
      <c r="A48" s="128">
        <v>46013</v>
      </c>
      <c r="B48" s="59"/>
      <c r="C48" s="59"/>
      <c r="D48" s="59" t="s">
        <v>60</v>
      </c>
      <c r="E48" s="62"/>
      <c r="F48" s="62">
        <v>14</v>
      </c>
      <c r="G48" s="62">
        <f t="shared" si="1"/>
        <v>223.5</v>
      </c>
      <c r="H48" s="62"/>
      <c r="I48" s="57"/>
    </row>
    <row r="49" spans="1:9" ht="16.5" x14ac:dyDescent="0.25">
      <c r="A49" s="127">
        <v>46013</v>
      </c>
      <c r="B49" s="59"/>
      <c r="C49" s="59"/>
      <c r="D49" s="59" t="s">
        <v>31</v>
      </c>
      <c r="E49" s="62"/>
      <c r="F49" s="62">
        <v>18</v>
      </c>
      <c r="G49" s="62">
        <f t="shared" si="1"/>
        <v>205.5</v>
      </c>
      <c r="H49" s="62"/>
      <c r="I49" s="57"/>
    </row>
    <row r="50" spans="1:9" ht="16.5" x14ac:dyDescent="0.25">
      <c r="A50" s="127">
        <v>46013</v>
      </c>
      <c r="B50" s="59"/>
      <c r="C50" s="59"/>
      <c r="D50" s="59" t="s">
        <v>265</v>
      </c>
      <c r="E50" s="62"/>
      <c r="F50" s="62">
        <v>8</v>
      </c>
      <c r="G50" s="62">
        <f t="shared" si="1"/>
        <v>197.5</v>
      </c>
      <c r="H50" s="62"/>
      <c r="I50" s="57"/>
    </row>
    <row r="51" spans="1:9" ht="16.5" x14ac:dyDescent="0.25">
      <c r="A51" s="127">
        <v>46013</v>
      </c>
      <c r="B51" s="59"/>
      <c r="C51" s="59"/>
      <c r="D51" s="59" t="s">
        <v>232</v>
      </c>
      <c r="E51" s="62"/>
      <c r="F51" s="62">
        <v>14</v>
      </c>
      <c r="G51" s="62">
        <f t="shared" si="1"/>
        <v>183.5</v>
      </c>
      <c r="H51" s="62"/>
      <c r="I51" s="57"/>
    </row>
    <row r="52" spans="1:9" ht="16.5" x14ac:dyDescent="0.25">
      <c r="A52" s="127">
        <v>46013</v>
      </c>
      <c r="B52" s="59"/>
      <c r="C52" s="59"/>
      <c r="D52" s="59" t="s">
        <v>266</v>
      </c>
      <c r="E52" s="62"/>
      <c r="F52" s="62">
        <v>8</v>
      </c>
      <c r="G52" s="62">
        <f t="shared" si="1"/>
        <v>175.5</v>
      </c>
      <c r="H52" s="62"/>
      <c r="I52" s="57"/>
    </row>
    <row r="53" spans="1:9" ht="17.25" thickBot="1" x14ac:dyDescent="0.3">
      <c r="A53" s="132">
        <v>46014</v>
      </c>
      <c r="B53" s="133"/>
      <c r="C53" s="133"/>
      <c r="D53" s="133" t="s">
        <v>234</v>
      </c>
      <c r="E53" s="144"/>
      <c r="F53" s="144">
        <v>13</v>
      </c>
      <c r="G53" s="144">
        <f t="shared" ref="G53:G65" si="2">G52+E53-F53</f>
        <v>162.5</v>
      </c>
      <c r="H53" s="144"/>
      <c r="I53" s="57"/>
    </row>
    <row r="54" spans="1:9" ht="16.5" x14ac:dyDescent="0.25">
      <c r="A54" s="134">
        <v>46014</v>
      </c>
      <c r="B54" s="116"/>
      <c r="C54" s="116"/>
      <c r="D54" s="116" t="s">
        <v>234</v>
      </c>
      <c r="E54" s="117"/>
      <c r="F54" s="117">
        <v>1</v>
      </c>
      <c r="G54" s="117">
        <f t="shared" si="2"/>
        <v>161.5</v>
      </c>
      <c r="H54" s="117"/>
      <c r="I54" s="57"/>
    </row>
    <row r="55" spans="1:9" ht="16.5" x14ac:dyDescent="0.25">
      <c r="A55" s="128">
        <v>46014</v>
      </c>
      <c r="B55" s="59"/>
      <c r="C55" s="59"/>
      <c r="D55" s="59" t="s">
        <v>57</v>
      </c>
      <c r="E55" s="62"/>
      <c r="F55" s="62">
        <v>4</v>
      </c>
      <c r="G55" s="62">
        <f t="shared" si="2"/>
        <v>157.5</v>
      </c>
      <c r="H55" s="62"/>
      <c r="I55" s="57"/>
    </row>
    <row r="56" spans="1:9" ht="16.5" x14ac:dyDescent="0.25">
      <c r="A56" s="128">
        <v>46014</v>
      </c>
      <c r="B56" s="59"/>
      <c r="C56" s="59"/>
      <c r="D56" s="101" t="s">
        <v>274</v>
      </c>
      <c r="E56" s="102"/>
      <c r="F56" s="102">
        <v>7</v>
      </c>
      <c r="G56" s="62">
        <f t="shared" si="2"/>
        <v>150.5</v>
      </c>
      <c r="H56" s="62"/>
      <c r="I56" s="57"/>
    </row>
    <row r="57" spans="1:9" ht="17.25" thickBot="1" x14ac:dyDescent="0.3">
      <c r="A57" s="132">
        <v>46014</v>
      </c>
      <c r="B57" s="110"/>
      <c r="C57" s="110"/>
      <c r="D57" s="135" t="s">
        <v>272</v>
      </c>
      <c r="E57" s="145"/>
      <c r="F57" s="145">
        <v>13</v>
      </c>
      <c r="G57" s="111">
        <f t="shared" si="2"/>
        <v>137.5</v>
      </c>
      <c r="H57" s="111"/>
      <c r="I57" s="57"/>
    </row>
    <row r="58" spans="1:9" ht="16.5" x14ac:dyDescent="0.25">
      <c r="A58" s="134">
        <v>46015</v>
      </c>
      <c r="B58" s="116"/>
      <c r="C58" s="116"/>
      <c r="D58" s="136" t="s">
        <v>273</v>
      </c>
      <c r="E58" s="146"/>
      <c r="F58" s="146">
        <v>15</v>
      </c>
      <c r="G58" s="117">
        <f t="shared" si="2"/>
        <v>122.5</v>
      </c>
      <c r="H58" s="117"/>
      <c r="I58" s="57"/>
    </row>
    <row r="59" spans="1:9" ht="16.5" x14ac:dyDescent="0.25">
      <c r="A59" s="127">
        <v>46015</v>
      </c>
      <c r="B59" s="59"/>
      <c r="C59" s="59"/>
      <c r="D59" s="101" t="s">
        <v>275</v>
      </c>
      <c r="E59" s="102"/>
      <c r="F59" s="102">
        <v>13</v>
      </c>
      <c r="G59" s="62">
        <f t="shared" si="2"/>
        <v>109.5</v>
      </c>
      <c r="H59" s="62"/>
      <c r="I59" s="57"/>
    </row>
    <row r="60" spans="1:9" ht="16.5" x14ac:dyDescent="0.25">
      <c r="A60" s="127">
        <v>46017</v>
      </c>
      <c r="B60" s="59"/>
      <c r="C60" s="59"/>
      <c r="D60" s="101" t="s">
        <v>276</v>
      </c>
      <c r="E60" s="102"/>
      <c r="F60" s="102">
        <v>10</v>
      </c>
      <c r="G60" s="62">
        <f t="shared" si="2"/>
        <v>99.5</v>
      </c>
      <c r="H60" s="62"/>
      <c r="I60" s="57"/>
    </row>
    <row r="61" spans="1:9" ht="16.5" x14ac:dyDescent="0.25">
      <c r="A61" s="127">
        <v>46017</v>
      </c>
      <c r="B61" s="59"/>
      <c r="C61" s="59"/>
      <c r="D61" s="101" t="s">
        <v>267</v>
      </c>
      <c r="E61" s="102"/>
      <c r="F61" s="102">
        <v>10</v>
      </c>
      <c r="G61" s="62">
        <f t="shared" si="2"/>
        <v>89.5</v>
      </c>
      <c r="H61" s="62"/>
      <c r="I61" s="57"/>
    </row>
    <row r="62" spans="1:9" ht="16.5" x14ac:dyDescent="0.25">
      <c r="A62" s="127">
        <v>46018</v>
      </c>
      <c r="B62" s="59"/>
      <c r="C62" s="59"/>
      <c r="D62" s="101" t="s">
        <v>277</v>
      </c>
      <c r="E62" s="102"/>
      <c r="F62" s="102">
        <v>10</v>
      </c>
      <c r="G62" s="62">
        <f t="shared" si="2"/>
        <v>79.5</v>
      </c>
      <c r="H62" s="62"/>
      <c r="I62" s="57"/>
    </row>
    <row r="63" spans="1:9" ht="16.5" x14ac:dyDescent="0.25">
      <c r="A63" s="127">
        <v>46019</v>
      </c>
      <c r="B63" s="59"/>
      <c r="C63" s="59"/>
      <c r="D63" s="59" t="s">
        <v>62</v>
      </c>
      <c r="E63" s="62"/>
      <c r="F63" s="62">
        <v>1</v>
      </c>
      <c r="G63" s="62">
        <f t="shared" si="2"/>
        <v>78.5</v>
      </c>
      <c r="H63" s="62"/>
      <c r="I63" s="57">
        <f>78.5-40</f>
        <v>38.5</v>
      </c>
    </row>
    <row r="64" spans="1:9" ht="16.5" x14ac:dyDescent="0.25">
      <c r="A64" s="127">
        <v>46020</v>
      </c>
      <c r="B64" s="59"/>
      <c r="C64" s="59"/>
      <c r="D64" s="59" t="s">
        <v>110</v>
      </c>
      <c r="E64" s="62"/>
      <c r="F64" s="62">
        <v>23</v>
      </c>
      <c r="G64" s="62">
        <f t="shared" si="2"/>
        <v>55.5</v>
      </c>
      <c r="H64" s="62"/>
      <c r="I64" s="57"/>
    </row>
    <row r="65" spans="1:13" ht="16.5" x14ac:dyDescent="0.25">
      <c r="A65" s="128">
        <v>46020</v>
      </c>
      <c r="B65" s="78"/>
      <c r="C65" s="78"/>
      <c r="D65" s="78" t="s">
        <v>93</v>
      </c>
      <c r="E65" s="80"/>
      <c r="F65" s="80">
        <v>18</v>
      </c>
      <c r="G65" s="80">
        <f t="shared" si="2"/>
        <v>37.5</v>
      </c>
      <c r="H65" s="80"/>
      <c r="I65" s="57"/>
    </row>
    <row r="66" spans="1:13" ht="16.5" x14ac:dyDescent="0.25">
      <c r="A66" s="131">
        <v>46024</v>
      </c>
      <c r="B66" s="72">
        <v>141298</v>
      </c>
      <c r="C66" s="72"/>
      <c r="D66" s="72" t="s">
        <v>129</v>
      </c>
      <c r="E66" s="73">
        <v>200</v>
      </c>
      <c r="F66" s="73"/>
      <c r="G66" s="73">
        <f>G65+E66-F66</f>
        <v>237.5</v>
      </c>
      <c r="H66" s="73"/>
      <c r="I66" s="57"/>
    </row>
    <row r="67" spans="1:13" ht="16.5" x14ac:dyDescent="0.25">
      <c r="A67" s="127">
        <v>46025</v>
      </c>
      <c r="B67" s="72"/>
      <c r="C67" s="72"/>
      <c r="D67" s="59" t="s">
        <v>18</v>
      </c>
      <c r="E67" s="62"/>
      <c r="F67" s="62">
        <v>1</v>
      </c>
      <c r="G67" s="80">
        <f t="shared" ref="G67:G130" si="3">G66+E67-F67</f>
        <v>236.5</v>
      </c>
      <c r="H67" s="73"/>
      <c r="I67" s="57"/>
    </row>
    <row r="68" spans="1:13" ht="16.5" x14ac:dyDescent="0.25">
      <c r="A68" s="127">
        <v>46026</v>
      </c>
      <c r="B68" s="78">
        <v>127690</v>
      </c>
      <c r="C68" s="78">
        <v>71994</v>
      </c>
      <c r="D68" s="59" t="s">
        <v>304</v>
      </c>
      <c r="E68" s="62"/>
      <c r="F68" s="62">
        <v>10</v>
      </c>
      <c r="G68" s="80">
        <f t="shared" si="3"/>
        <v>226.5</v>
      </c>
      <c r="H68" s="73"/>
      <c r="I68" s="57"/>
      <c r="M68" s="37"/>
    </row>
    <row r="69" spans="1:13" ht="16.5" x14ac:dyDescent="0.25">
      <c r="A69" s="127">
        <v>46026</v>
      </c>
      <c r="B69" s="72"/>
      <c r="C69" s="72"/>
      <c r="D69" s="59" t="s">
        <v>289</v>
      </c>
      <c r="E69" s="62"/>
      <c r="F69" s="62">
        <v>6</v>
      </c>
      <c r="G69" s="80">
        <f t="shared" si="3"/>
        <v>220.5</v>
      </c>
      <c r="H69" s="73"/>
      <c r="I69" s="57"/>
    </row>
    <row r="70" spans="1:13" ht="16.5" x14ac:dyDescent="0.25">
      <c r="A70" s="127">
        <v>46027</v>
      </c>
      <c r="B70" s="72"/>
      <c r="C70" s="72"/>
      <c r="D70" s="59" t="s">
        <v>290</v>
      </c>
      <c r="E70" s="62"/>
      <c r="F70" s="62">
        <v>0.5</v>
      </c>
      <c r="G70" s="80">
        <f t="shared" si="3"/>
        <v>220</v>
      </c>
      <c r="H70" s="73"/>
      <c r="I70" s="57"/>
    </row>
    <row r="71" spans="1:13" ht="16.5" x14ac:dyDescent="0.25">
      <c r="A71" s="127">
        <v>46027</v>
      </c>
      <c r="B71" s="72"/>
      <c r="C71" s="72"/>
      <c r="D71" s="59" t="s">
        <v>27</v>
      </c>
      <c r="E71" s="62"/>
      <c r="F71" s="62">
        <v>15</v>
      </c>
      <c r="G71" s="80">
        <f t="shared" si="3"/>
        <v>205</v>
      </c>
      <c r="H71" s="73"/>
      <c r="I71" s="57"/>
    </row>
    <row r="72" spans="1:13" ht="16.5" x14ac:dyDescent="0.25">
      <c r="A72" s="127">
        <v>46027</v>
      </c>
      <c r="B72" s="72"/>
      <c r="C72" s="72"/>
      <c r="D72" s="59" t="s">
        <v>61</v>
      </c>
      <c r="E72" s="62"/>
      <c r="F72" s="62">
        <v>1</v>
      </c>
      <c r="G72" s="80">
        <f t="shared" si="3"/>
        <v>204</v>
      </c>
      <c r="H72" s="73"/>
      <c r="I72" s="57"/>
    </row>
    <row r="73" spans="1:13" ht="16.5" x14ac:dyDescent="0.25">
      <c r="A73" s="127">
        <v>46027</v>
      </c>
      <c r="B73" s="59"/>
      <c r="C73" s="59"/>
      <c r="D73" s="77" t="s">
        <v>134</v>
      </c>
      <c r="E73" s="62"/>
      <c r="F73" s="62">
        <v>30</v>
      </c>
      <c r="G73" s="80">
        <f t="shared" si="3"/>
        <v>174</v>
      </c>
      <c r="H73" s="62"/>
      <c r="I73" s="57"/>
    </row>
    <row r="74" spans="1:13" ht="16.5" x14ac:dyDescent="0.25">
      <c r="A74" s="127">
        <v>46028</v>
      </c>
      <c r="B74" s="59"/>
      <c r="C74" s="59"/>
      <c r="D74" s="59" t="s">
        <v>193</v>
      </c>
      <c r="E74" s="62"/>
      <c r="F74" s="62">
        <v>6.5</v>
      </c>
      <c r="G74" s="80">
        <f>G73+E74-F74</f>
        <v>167.5</v>
      </c>
      <c r="H74" s="62"/>
      <c r="I74" s="57"/>
    </row>
    <row r="75" spans="1:13" ht="16.5" x14ac:dyDescent="0.25">
      <c r="A75" s="127">
        <v>46029</v>
      </c>
      <c r="B75" s="59"/>
      <c r="C75" s="59"/>
      <c r="D75" s="59" t="s">
        <v>296</v>
      </c>
      <c r="E75" s="62"/>
      <c r="F75" s="62">
        <v>6.5</v>
      </c>
      <c r="G75" s="80">
        <f>G74+E75-F75</f>
        <v>161</v>
      </c>
      <c r="H75" s="62" t="s">
        <v>297</v>
      </c>
      <c r="I75" s="57"/>
    </row>
    <row r="76" spans="1:13" ht="16.5" x14ac:dyDescent="0.25">
      <c r="A76" s="68">
        <v>46030</v>
      </c>
      <c r="B76" s="59"/>
      <c r="C76" s="59"/>
      <c r="D76" s="59" t="s">
        <v>86</v>
      </c>
      <c r="E76" s="62"/>
      <c r="F76" s="62">
        <v>2</v>
      </c>
      <c r="G76" s="80">
        <f>G75+E76-F76</f>
        <v>159</v>
      </c>
      <c r="H76" s="62"/>
      <c r="I76" s="57"/>
    </row>
    <row r="77" spans="1:13" ht="16.5" x14ac:dyDescent="0.25">
      <c r="A77" s="68">
        <v>46030</v>
      </c>
      <c r="B77" s="59"/>
      <c r="C77" s="59"/>
      <c r="D77" s="59" t="s">
        <v>252</v>
      </c>
      <c r="E77" s="62"/>
      <c r="F77" s="62">
        <v>2</v>
      </c>
      <c r="G77" s="80">
        <f t="shared" si="3"/>
        <v>157</v>
      </c>
      <c r="H77" s="62"/>
      <c r="I77" s="57"/>
    </row>
    <row r="78" spans="1:13" ht="16.5" x14ac:dyDescent="0.25">
      <c r="A78" s="68">
        <v>46030</v>
      </c>
      <c r="B78" s="59"/>
      <c r="C78" s="59"/>
      <c r="D78" s="59" t="s">
        <v>291</v>
      </c>
      <c r="E78" s="62"/>
      <c r="F78" s="62">
        <v>18</v>
      </c>
      <c r="G78" s="80">
        <f t="shared" si="3"/>
        <v>139</v>
      </c>
      <c r="H78" s="62"/>
      <c r="I78" s="57"/>
    </row>
    <row r="79" spans="1:13" ht="16.5" x14ac:dyDescent="0.25">
      <c r="A79" s="68">
        <v>46030</v>
      </c>
      <c r="B79" s="59"/>
      <c r="C79" s="59"/>
      <c r="D79" s="59" t="s">
        <v>78</v>
      </c>
      <c r="E79" s="62"/>
      <c r="F79" s="62">
        <v>18</v>
      </c>
      <c r="G79" s="80">
        <f t="shared" si="3"/>
        <v>121</v>
      </c>
      <c r="H79" s="62"/>
      <c r="I79" s="57"/>
    </row>
    <row r="80" spans="1:13" ht="16.5" x14ac:dyDescent="0.25">
      <c r="A80" s="68">
        <v>46030</v>
      </c>
      <c r="B80" s="59"/>
      <c r="C80" s="59"/>
      <c r="D80" s="59" t="s">
        <v>292</v>
      </c>
      <c r="E80" s="62"/>
      <c r="F80" s="62">
        <v>2.5</v>
      </c>
      <c r="G80" s="80">
        <f t="shared" si="3"/>
        <v>118.5</v>
      </c>
      <c r="H80" s="62"/>
      <c r="I80" s="57"/>
    </row>
    <row r="81" spans="1:9" ht="16.5" x14ac:dyDescent="0.25">
      <c r="A81" s="68">
        <v>46030</v>
      </c>
      <c r="B81" s="59"/>
      <c r="C81" s="59"/>
      <c r="D81" s="59" t="s">
        <v>293</v>
      </c>
      <c r="E81" s="62"/>
      <c r="F81" s="62">
        <v>18</v>
      </c>
      <c r="G81" s="80">
        <f t="shared" si="3"/>
        <v>100.5</v>
      </c>
      <c r="H81" s="62"/>
      <c r="I81" s="57"/>
    </row>
    <row r="82" spans="1:9" ht="16.5" x14ac:dyDescent="0.25">
      <c r="A82" s="68">
        <v>46031</v>
      </c>
      <c r="B82" s="59"/>
      <c r="C82" s="59"/>
      <c r="D82" s="59" t="s">
        <v>14</v>
      </c>
      <c r="E82" s="62"/>
      <c r="F82" s="62">
        <v>1.75</v>
      </c>
      <c r="G82" s="80">
        <f t="shared" si="3"/>
        <v>98.75</v>
      </c>
      <c r="H82" s="62"/>
      <c r="I82" s="57"/>
    </row>
    <row r="83" spans="1:9" ht="16.5" x14ac:dyDescent="0.25">
      <c r="A83" s="68">
        <v>46031</v>
      </c>
      <c r="B83" s="59"/>
      <c r="C83" s="59"/>
      <c r="D83" s="59" t="s">
        <v>239</v>
      </c>
      <c r="E83" s="62"/>
      <c r="F83" s="62">
        <v>30</v>
      </c>
      <c r="G83" s="80">
        <f t="shared" si="3"/>
        <v>68.75</v>
      </c>
      <c r="H83" s="62"/>
      <c r="I83" s="57"/>
    </row>
    <row r="84" spans="1:9" ht="16.5" x14ac:dyDescent="0.25">
      <c r="A84" s="68">
        <v>46032</v>
      </c>
      <c r="B84" s="59"/>
      <c r="C84" s="59"/>
      <c r="D84" s="59" t="s">
        <v>301</v>
      </c>
      <c r="E84" s="62"/>
      <c r="F84" s="62">
        <v>2</v>
      </c>
      <c r="G84" s="80">
        <f t="shared" si="3"/>
        <v>66.75</v>
      </c>
      <c r="H84" s="62"/>
      <c r="I84" s="57"/>
    </row>
    <row r="85" spans="1:9" ht="16.5" x14ac:dyDescent="0.25">
      <c r="A85" s="68">
        <v>46033</v>
      </c>
      <c r="B85" s="59"/>
      <c r="C85" s="59"/>
      <c r="D85" s="59" t="s">
        <v>302</v>
      </c>
      <c r="E85" s="62"/>
      <c r="F85" s="62">
        <v>1</v>
      </c>
      <c r="G85" s="80">
        <f t="shared" si="3"/>
        <v>65.75</v>
      </c>
      <c r="H85" s="62"/>
      <c r="I85" s="57"/>
    </row>
    <row r="86" spans="1:9" ht="16.5" x14ac:dyDescent="0.25">
      <c r="A86" s="68">
        <v>46033</v>
      </c>
      <c r="B86" s="59"/>
      <c r="C86" s="59"/>
      <c r="D86" s="59" t="s">
        <v>62</v>
      </c>
      <c r="E86" s="62"/>
      <c r="F86" s="62">
        <v>6</v>
      </c>
      <c r="G86" s="80">
        <f t="shared" si="3"/>
        <v>59.75</v>
      </c>
      <c r="H86" s="62"/>
      <c r="I86" s="57"/>
    </row>
    <row r="87" spans="1:9" ht="16.5" x14ac:dyDescent="0.25">
      <c r="A87" s="68">
        <v>46034</v>
      </c>
      <c r="B87" s="59"/>
      <c r="C87" s="59"/>
      <c r="D87" s="59" t="s">
        <v>305</v>
      </c>
      <c r="E87" s="62"/>
      <c r="F87" s="62">
        <v>2</v>
      </c>
      <c r="G87" s="80">
        <f t="shared" si="3"/>
        <v>57.75</v>
      </c>
      <c r="H87" s="62"/>
      <c r="I87" s="57"/>
    </row>
    <row r="88" spans="1:9" ht="16.5" x14ac:dyDescent="0.25">
      <c r="A88" s="68">
        <v>46035</v>
      </c>
      <c r="B88" s="59"/>
      <c r="C88" s="59"/>
      <c r="D88" s="59" t="s">
        <v>325</v>
      </c>
      <c r="E88" s="62"/>
      <c r="F88" s="62">
        <v>1</v>
      </c>
      <c r="G88" s="80">
        <f t="shared" si="3"/>
        <v>56.75</v>
      </c>
      <c r="H88" s="62"/>
      <c r="I88" s="57"/>
    </row>
    <row r="89" spans="1:9" ht="16.5" x14ac:dyDescent="0.25">
      <c r="A89" s="68">
        <v>46038</v>
      </c>
      <c r="B89" s="59"/>
      <c r="C89" s="59"/>
      <c r="D89" s="59" t="s">
        <v>315</v>
      </c>
      <c r="E89" s="62"/>
      <c r="F89" s="62">
        <v>14</v>
      </c>
      <c r="G89" s="80">
        <f t="shared" si="3"/>
        <v>42.75</v>
      </c>
      <c r="H89" s="62"/>
      <c r="I89" s="57"/>
    </row>
    <row r="90" spans="1:9" ht="16.5" x14ac:dyDescent="0.25">
      <c r="A90" s="68">
        <v>46038</v>
      </c>
      <c r="B90" s="59"/>
      <c r="C90" s="59"/>
      <c r="D90" s="59" t="s">
        <v>307</v>
      </c>
      <c r="E90" s="62"/>
      <c r="F90" s="62">
        <v>12</v>
      </c>
      <c r="G90" s="80">
        <f t="shared" si="3"/>
        <v>30.75</v>
      </c>
      <c r="H90" s="62"/>
      <c r="I90" s="57"/>
    </row>
    <row r="91" spans="1:9" ht="16.5" x14ac:dyDescent="0.25">
      <c r="A91" s="71">
        <v>46038</v>
      </c>
      <c r="B91" s="72">
        <v>141298</v>
      </c>
      <c r="C91" s="72"/>
      <c r="D91" s="72" t="s">
        <v>129</v>
      </c>
      <c r="E91" s="73">
        <v>400</v>
      </c>
      <c r="F91" s="73"/>
      <c r="G91" s="73">
        <f t="shared" si="3"/>
        <v>430.75</v>
      </c>
      <c r="H91" s="73"/>
      <c r="I91" s="57"/>
    </row>
    <row r="92" spans="1:9" ht="16.5" x14ac:dyDescent="0.25">
      <c r="A92" s="68">
        <v>46038</v>
      </c>
      <c r="B92" s="59"/>
      <c r="C92" s="59"/>
      <c r="D92" s="59" t="s">
        <v>134</v>
      </c>
      <c r="E92" s="62"/>
      <c r="F92" s="62">
        <v>200</v>
      </c>
      <c r="G92" s="80">
        <f t="shared" si="3"/>
        <v>230.75</v>
      </c>
      <c r="H92" s="62"/>
      <c r="I92" s="57"/>
    </row>
    <row r="93" spans="1:9" ht="16.5" x14ac:dyDescent="0.25">
      <c r="A93" s="68">
        <v>46039</v>
      </c>
      <c r="B93" s="59"/>
      <c r="C93" s="59"/>
      <c r="D93" s="59" t="s">
        <v>14</v>
      </c>
      <c r="E93" s="62"/>
      <c r="F93" s="62">
        <v>13</v>
      </c>
      <c r="G93" s="80">
        <f t="shared" si="3"/>
        <v>217.75</v>
      </c>
      <c r="H93" s="62"/>
      <c r="I93" s="57"/>
    </row>
    <row r="94" spans="1:9" ht="16.5" x14ac:dyDescent="0.25">
      <c r="A94" s="68">
        <v>46039</v>
      </c>
      <c r="B94" s="59"/>
      <c r="C94" s="59"/>
      <c r="D94" s="59" t="s">
        <v>62</v>
      </c>
      <c r="E94" s="62"/>
      <c r="F94" s="62">
        <v>1</v>
      </c>
      <c r="G94" s="80">
        <f t="shared" si="3"/>
        <v>216.75</v>
      </c>
      <c r="H94" s="62"/>
      <c r="I94" s="57"/>
    </row>
    <row r="95" spans="1:9" ht="16.5" x14ac:dyDescent="0.25">
      <c r="A95" s="68">
        <v>46039</v>
      </c>
      <c r="B95" s="59"/>
      <c r="C95" s="59"/>
      <c r="D95" s="59" t="s">
        <v>219</v>
      </c>
      <c r="E95" s="62"/>
      <c r="F95" s="62">
        <v>10</v>
      </c>
      <c r="G95" s="80">
        <f t="shared" si="3"/>
        <v>206.75</v>
      </c>
      <c r="H95" s="62" t="s">
        <v>316</v>
      </c>
      <c r="I95" s="57"/>
    </row>
    <row r="96" spans="1:9" ht="16.5" x14ac:dyDescent="0.25">
      <c r="A96" s="68">
        <v>46040</v>
      </c>
      <c r="B96" s="59">
        <v>2417</v>
      </c>
      <c r="C96" s="59">
        <v>58068</v>
      </c>
      <c r="D96" s="59" t="s">
        <v>149</v>
      </c>
      <c r="E96" s="62"/>
      <c r="F96" s="62">
        <v>60</v>
      </c>
      <c r="G96" s="80">
        <f t="shared" si="3"/>
        <v>146.75</v>
      </c>
      <c r="H96" s="62"/>
      <c r="I96" s="57"/>
    </row>
    <row r="97" spans="1:9" ht="16.5" x14ac:dyDescent="0.25">
      <c r="A97" s="68">
        <v>46040</v>
      </c>
      <c r="B97" s="59"/>
      <c r="C97" s="59"/>
      <c r="D97" s="59" t="s">
        <v>57</v>
      </c>
      <c r="E97" s="62"/>
      <c r="F97" s="62">
        <v>2</v>
      </c>
      <c r="G97" s="80">
        <f t="shared" si="3"/>
        <v>144.75</v>
      </c>
      <c r="H97" s="62"/>
      <c r="I97" s="57"/>
    </row>
    <row r="98" spans="1:9" ht="16.5" x14ac:dyDescent="0.25">
      <c r="A98" s="68">
        <v>46041</v>
      </c>
      <c r="B98" s="59"/>
      <c r="C98" s="59"/>
      <c r="D98" s="59" t="s">
        <v>67</v>
      </c>
      <c r="E98" s="62"/>
      <c r="F98" s="62">
        <v>9.5</v>
      </c>
      <c r="G98" s="80">
        <f t="shared" si="3"/>
        <v>135.25</v>
      </c>
      <c r="H98" s="62"/>
      <c r="I98" s="57"/>
    </row>
    <row r="99" spans="1:9" ht="16.5" x14ac:dyDescent="0.25">
      <c r="A99" s="68">
        <v>46042</v>
      </c>
      <c r="B99" s="59"/>
      <c r="C99" s="59"/>
      <c r="D99" s="59" t="s">
        <v>41</v>
      </c>
      <c r="E99" s="62"/>
      <c r="F99" s="62">
        <v>13</v>
      </c>
      <c r="G99" s="80">
        <f t="shared" si="3"/>
        <v>122.25</v>
      </c>
      <c r="H99" s="62"/>
      <c r="I99" s="57"/>
    </row>
    <row r="100" spans="1:9" ht="16.5" x14ac:dyDescent="0.25">
      <c r="A100" s="68">
        <v>46044</v>
      </c>
      <c r="B100" s="59"/>
      <c r="C100" s="59"/>
      <c r="D100" s="59" t="s">
        <v>320</v>
      </c>
      <c r="E100" s="62"/>
      <c r="F100" s="62">
        <v>5</v>
      </c>
      <c r="G100" s="80">
        <f t="shared" si="3"/>
        <v>117.25</v>
      </c>
      <c r="H100" s="62"/>
      <c r="I100" s="57"/>
    </row>
    <row r="101" spans="1:9" ht="16.5" x14ac:dyDescent="0.25">
      <c r="A101" s="137">
        <v>46044</v>
      </c>
      <c r="B101" s="101"/>
      <c r="C101" s="101"/>
      <c r="D101" s="101" t="s">
        <v>134</v>
      </c>
      <c r="E101" s="102"/>
      <c r="F101" s="102">
        <v>22</v>
      </c>
      <c r="G101" s="147">
        <f t="shared" si="3"/>
        <v>95.25</v>
      </c>
      <c r="H101" s="102"/>
      <c r="I101" s="57"/>
    </row>
    <row r="102" spans="1:9" ht="16.5" x14ac:dyDescent="0.25">
      <c r="A102" s="68">
        <v>46045</v>
      </c>
      <c r="B102" s="59"/>
      <c r="C102" s="59"/>
      <c r="D102" s="59" t="s">
        <v>195</v>
      </c>
      <c r="E102" s="62"/>
      <c r="F102" s="62">
        <v>6</v>
      </c>
      <c r="G102" s="80">
        <f t="shared" si="3"/>
        <v>89.25</v>
      </c>
      <c r="H102" s="62"/>
      <c r="I102" s="57"/>
    </row>
    <row r="103" spans="1:9" ht="16.5" x14ac:dyDescent="0.25">
      <c r="A103" s="68">
        <v>46046</v>
      </c>
      <c r="B103" s="59"/>
      <c r="C103" s="59"/>
      <c r="D103" s="59" t="s">
        <v>315</v>
      </c>
      <c r="E103" s="62"/>
      <c r="F103" s="62">
        <v>5</v>
      </c>
      <c r="G103" s="80">
        <f t="shared" si="3"/>
        <v>84.25</v>
      </c>
      <c r="H103" s="62"/>
      <c r="I103" s="57"/>
    </row>
    <row r="104" spans="1:9" ht="16.5" x14ac:dyDescent="0.25">
      <c r="A104" s="68">
        <v>46048</v>
      </c>
      <c r="B104" s="59"/>
      <c r="C104" s="59"/>
      <c r="D104" s="59" t="s">
        <v>325</v>
      </c>
      <c r="E104" s="62"/>
      <c r="F104" s="62">
        <v>1</v>
      </c>
      <c r="G104" s="80">
        <f t="shared" si="3"/>
        <v>83.25</v>
      </c>
      <c r="H104" s="62"/>
      <c r="I104" s="57"/>
    </row>
    <row r="105" spans="1:9" ht="16.5" x14ac:dyDescent="0.25">
      <c r="A105" s="68">
        <v>46048</v>
      </c>
      <c r="B105" s="59"/>
      <c r="C105" s="59"/>
      <c r="D105" s="59" t="s">
        <v>326</v>
      </c>
      <c r="E105" s="62"/>
      <c r="F105" s="62">
        <v>1</v>
      </c>
      <c r="G105" s="80">
        <f t="shared" si="3"/>
        <v>82.25</v>
      </c>
      <c r="H105" s="62"/>
      <c r="I105" s="57"/>
    </row>
    <row r="106" spans="1:9" ht="16.5" x14ac:dyDescent="0.25">
      <c r="A106" s="68">
        <v>46049</v>
      </c>
      <c r="B106" s="59">
        <v>2477</v>
      </c>
      <c r="C106" s="59">
        <v>64372</v>
      </c>
      <c r="D106" s="59" t="s">
        <v>331</v>
      </c>
      <c r="E106" s="62"/>
      <c r="F106" s="62">
        <v>15</v>
      </c>
      <c r="G106" s="80">
        <f t="shared" si="3"/>
        <v>67.25</v>
      </c>
      <c r="H106" s="62"/>
      <c r="I106" s="57"/>
    </row>
    <row r="107" spans="1:9" ht="16.5" x14ac:dyDescent="0.25">
      <c r="A107" s="68">
        <v>46050</v>
      </c>
      <c r="B107" s="59"/>
      <c r="C107" s="59"/>
      <c r="D107" s="59" t="s">
        <v>327</v>
      </c>
      <c r="E107" s="62"/>
      <c r="F107" s="62">
        <v>2</v>
      </c>
      <c r="G107" s="80">
        <f t="shared" si="3"/>
        <v>65.25</v>
      </c>
      <c r="H107" s="62"/>
      <c r="I107" s="57"/>
    </row>
    <row r="108" spans="1:9" ht="16.5" x14ac:dyDescent="0.25">
      <c r="A108" s="68">
        <v>46050</v>
      </c>
      <c r="B108" s="59"/>
      <c r="C108" s="59"/>
      <c r="D108" s="59" t="s">
        <v>341</v>
      </c>
      <c r="E108" s="62"/>
      <c r="F108" s="62">
        <v>1</v>
      </c>
      <c r="G108" s="80">
        <f t="shared" si="3"/>
        <v>64.25</v>
      </c>
      <c r="H108" s="62"/>
      <c r="I108" s="57"/>
    </row>
    <row r="109" spans="1:9" ht="16.5" x14ac:dyDescent="0.25">
      <c r="A109" s="68">
        <v>46051</v>
      </c>
      <c r="B109" s="59"/>
      <c r="C109" s="59"/>
      <c r="D109" s="59" t="s">
        <v>241</v>
      </c>
      <c r="E109" s="62"/>
      <c r="F109" s="62">
        <v>1</v>
      </c>
      <c r="G109" s="80">
        <f t="shared" si="3"/>
        <v>63.25</v>
      </c>
      <c r="H109" s="62"/>
      <c r="I109" s="57"/>
    </row>
    <row r="110" spans="1:9" ht="16.5" x14ac:dyDescent="0.25">
      <c r="A110" s="68">
        <v>46051</v>
      </c>
      <c r="B110" s="59"/>
      <c r="C110" s="59"/>
      <c r="D110" s="59" t="s">
        <v>328</v>
      </c>
      <c r="E110" s="62"/>
      <c r="F110" s="62">
        <v>1</v>
      </c>
      <c r="G110" s="80">
        <f t="shared" si="3"/>
        <v>62.25</v>
      </c>
      <c r="H110" s="62"/>
      <c r="I110" s="57"/>
    </row>
    <row r="111" spans="1:9" ht="16.5" x14ac:dyDescent="0.25">
      <c r="A111" s="68">
        <v>46051</v>
      </c>
      <c r="B111" s="59"/>
      <c r="C111" s="59"/>
      <c r="D111" s="59" t="s">
        <v>177</v>
      </c>
      <c r="E111" s="62"/>
      <c r="F111" s="62">
        <v>13</v>
      </c>
      <c r="G111" s="80">
        <f t="shared" si="3"/>
        <v>49.25</v>
      </c>
      <c r="H111" s="62"/>
      <c r="I111" s="57"/>
    </row>
    <row r="112" spans="1:9" ht="16.5" x14ac:dyDescent="0.25">
      <c r="A112" s="68">
        <v>46052</v>
      </c>
      <c r="B112" s="59"/>
      <c r="C112" s="59"/>
      <c r="D112" s="59" t="s">
        <v>143</v>
      </c>
      <c r="E112" s="62"/>
      <c r="F112" s="62">
        <v>3</v>
      </c>
      <c r="G112" s="80">
        <f t="shared" si="3"/>
        <v>46.25</v>
      </c>
      <c r="H112" s="62"/>
      <c r="I112" s="57"/>
    </row>
    <row r="113" spans="1:9" ht="16.5" x14ac:dyDescent="0.25">
      <c r="A113" s="68">
        <v>46052</v>
      </c>
      <c r="B113" s="59"/>
      <c r="C113" s="59"/>
      <c r="D113" s="59" t="s">
        <v>342</v>
      </c>
      <c r="E113" s="62"/>
      <c r="F113" s="62">
        <v>2</v>
      </c>
      <c r="G113" s="80">
        <f t="shared" si="3"/>
        <v>44.25</v>
      </c>
      <c r="H113" s="62"/>
      <c r="I113" s="57"/>
    </row>
    <row r="114" spans="1:9" ht="16.5" x14ac:dyDescent="0.25">
      <c r="A114" s="68">
        <v>46052</v>
      </c>
      <c r="B114" s="59"/>
      <c r="C114" s="59"/>
      <c r="D114" s="59" t="s">
        <v>329</v>
      </c>
      <c r="E114" s="62"/>
      <c r="F114" s="62">
        <v>9</v>
      </c>
      <c r="G114" s="80">
        <f t="shared" si="3"/>
        <v>35.25</v>
      </c>
      <c r="H114" s="62"/>
      <c r="I114" s="57"/>
    </row>
    <row r="115" spans="1:9" ht="16.5" x14ac:dyDescent="0.25">
      <c r="A115" s="68">
        <v>46053</v>
      </c>
      <c r="B115" s="59"/>
      <c r="C115" s="59"/>
      <c r="D115" s="59" t="s">
        <v>76</v>
      </c>
      <c r="E115" s="62"/>
      <c r="F115" s="62">
        <v>0.5</v>
      </c>
      <c r="G115" s="80">
        <f t="shared" si="3"/>
        <v>34.75</v>
      </c>
      <c r="H115" s="62"/>
      <c r="I115" s="57"/>
    </row>
    <row r="116" spans="1:9" ht="16.5" x14ac:dyDescent="0.25">
      <c r="A116" s="68">
        <v>46055</v>
      </c>
      <c r="B116" s="59"/>
      <c r="C116" s="59"/>
      <c r="D116" s="59" t="s">
        <v>57</v>
      </c>
      <c r="E116" s="62"/>
      <c r="F116" s="62">
        <v>2</v>
      </c>
      <c r="G116" s="80">
        <f t="shared" si="3"/>
        <v>32.75</v>
      </c>
      <c r="H116" s="62"/>
      <c r="I116" s="57"/>
    </row>
    <row r="117" spans="1:9" ht="16.5" x14ac:dyDescent="0.25">
      <c r="A117" s="68">
        <v>46055</v>
      </c>
      <c r="B117" s="59"/>
      <c r="C117" s="59"/>
      <c r="D117" s="59" t="s">
        <v>332</v>
      </c>
      <c r="E117" s="62"/>
      <c r="F117" s="62">
        <v>3</v>
      </c>
      <c r="G117" s="80">
        <f t="shared" si="3"/>
        <v>29.75</v>
      </c>
      <c r="H117" s="62"/>
      <c r="I117" s="57"/>
    </row>
    <row r="118" spans="1:9" ht="16.5" x14ac:dyDescent="0.25">
      <c r="A118" s="68">
        <v>46056</v>
      </c>
      <c r="B118" s="59"/>
      <c r="C118" s="59"/>
      <c r="D118" s="59" t="s">
        <v>287</v>
      </c>
      <c r="E118" s="62"/>
      <c r="F118" s="62">
        <v>1</v>
      </c>
      <c r="G118" s="80">
        <f t="shared" si="3"/>
        <v>28.75</v>
      </c>
      <c r="H118" s="62"/>
      <c r="I118" s="57"/>
    </row>
    <row r="119" spans="1:9" ht="16.5" x14ac:dyDescent="0.25">
      <c r="A119" s="68">
        <v>46056</v>
      </c>
      <c r="B119" s="59"/>
      <c r="C119" s="59"/>
      <c r="D119" s="59" t="s">
        <v>333</v>
      </c>
      <c r="E119" s="62"/>
      <c r="F119" s="62">
        <v>10</v>
      </c>
      <c r="G119" s="80">
        <f t="shared" si="3"/>
        <v>18.75</v>
      </c>
      <c r="H119" s="62"/>
      <c r="I119" s="57"/>
    </row>
    <row r="120" spans="1:9" ht="16.5" x14ac:dyDescent="0.25">
      <c r="A120" s="68">
        <v>46058</v>
      </c>
      <c r="B120" s="59"/>
      <c r="C120" s="59"/>
      <c r="D120" s="59" t="s">
        <v>334</v>
      </c>
      <c r="E120" s="62"/>
      <c r="F120" s="62">
        <v>0.5</v>
      </c>
      <c r="G120" s="80">
        <f t="shared" si="3"/>
        <v>18.25</v>
      </c>
      <c r="H120" s="62"/>
      <c r="I120" s="57"/>
    </row>
    <row r="121" spans="1:9" ht="16.5" x14ac:dyDescent="0.25">
      <c r="A121" s="68">
        <v>46058</v>
      </c>
      <c r="B121" s="59"/>
      <c r="C121" s="59"/>
      <c r="D121" s="59" t="s">
        <v>335</v>
      </c>
      <c r="E121" s="62"/>
      <c r="F121" s="62">
        <v>0.5</v>
      </c>
      <c r="G121" s="80">
        <f t="shared" si="3"/>
        <v>17.75</v>
      </c>
      <c r="H121" s="62"/>
      <c r="I121" s="57"/>
    </row>
    <row r="122" spans="1:9" ht="16.5" x14ac:dyDescent="0.25">
      <c r="A122" s="71">
        <v>46058</v>
      </c>
      <c r="B122" s="72"/>
      <c r="C122" s="72">
        <v>142489</v>
      </c>
      <c r="D122" s="72" t="s">
        <v>129</v>
      </c>
      <c r="E122" s="73">
        <v>200</v>
      </c>
      <c r="F122" s="73"/>
      <c r="G122" s="73">
        <f t="shared" si="3"/>
        <v>217.75</v>
      </c>
      <c r="H122" s="73"/>
      <c r="I122" s="57"/>
    </row>
    <row r="123" spans="1:9" ht="16.5" x14ac:dyDescent="0.25">
      <c r="A123" s="68">
        <v>46058</v>
      </c>
      <c r="B123" s="59">
        <v>2548</v>
      </c>
      <c r="C123" s="59">
        <v>64375</v>
      </c>
      <c r="D123" s="59" t="s">
        <v>324</v>
      </c>
      <c r="E123" s="62"/>
      <c r="F123" s="62">
        <v>30</v>
      </c>
      <c r="G123" s="80">
        <f t="shared" si="3"/>
        <v>187.75</v>
      </c>
      <c r="H123" s="62"/>
      <c r="I123" s="57"/>
    </row>
    <row r="124" spans="1:9" ht="16.5" x14ac:dyDescent="0.25">
      <c r="A124" s="68">
        <v>46059</v>
      </c>
      <c r="B124" s="59">
        <v>2577</v>
      </c>
      <c r="C124" s="59">
        <v>64376</v>
      </c>
      <c r="D124" s="59" t="s">
        <v>100</v>
      </c>
      <c r="E124" s="62"/>
      <c r="F124" s="62">
        <v>10</v>
      </c>
      <c r="G124" s="80">
        <f t="shared" si="3"/>
        <v>177.75</v>
      </c>
      <c r="H124" s="62"/>
      <c r="I124" s="57"/>
    </row>
    <row r="125" spans="1:9" ht="16.5" x14ac:dyDescent="0.25">
      <c r="A125" s="68">
        <v>46060</v>
      </c>
      <c r="B125" s="59">
        <v>2526</v>
      </c>
      <c r="C125" s="59">
        <v>64377</v>
      </c>
      <c r="D125" s="59" t="s">
        <v>340</v>
      </c>
      <c r="E125" s="62"/>
      <c r="F125" s="62">
        <v>30</v>
      </c>
      <c r="G125" s="80">
        <f t="shared" si="3"/>
        <v>147.75</v>
      </c>
      <c r="H125" s="62"/>
      <c r="I125" s="57"/>
    </row>
    <row r="126" spans="1:9" ht="16.5" x14ac:dyDescent="0.25">
      <c r="A126" s="68">
        <v>46060</v>
      </c>
      <c r="B126" s="59"/>
      <c r="C126" s="59"/>
      <c r="D126" s="59" t="s">
        <v>193</v>
      </c>
      <c r="E126" s="62"/>
      <c r="F126" s="62">
        <v>1</v>
      </c>
      <c r="G126" s="80">
        <f t="shared" si="3"/>
        <v>146.75</v>
      </c>
      <c r="H126" s="62"/>
      <c r="I126" s="57"/>
    </row>
    <row r="127" spans="1:9" ht="16.5" x14ac:dyDescent="0.25">
      <c r="A127" s="68">
        <v>46060</v>
      </c>
      <c r="B127" s="59"/>
      <c r="C127" s="59"/>
      <c r="D127" s="59" t="s">
        <v>61</v>
      </c>
      <c r="E127" s="62"/>
      <c r="F127" s="62">
        <v>22</v>
      </c>
      <c r="G127" s="80">
        <f t="shared" si="3"/>
        <v>124.75</v>
      </c>
      <c r="H127" s="62"/>
      <c r="I127" s="57"/>
    </row>
    <row r="128" spans="1:9" ht="16.5" x14ac:dyDescent="0.25">
      <c r="A128" s="68">
        <v>46061</v>
      </c>
      <c r="B128" s="59"/>
      <c r="C128" s="59"/>
      <c r="D128" s="59" t="s">
        <v>90</v>
      </c>
      <c r="E128" s="62"/>
      <c r="F128" s="62">
        <v>25.5</v>
      </c>
      <c r="G128" s="80">
        <f t="shared" si="3"/>
        <v>99.25</v>
      </c>
      <c r="H128" s="62"/>
      <c r="I128" s="57"/>
    </row>
    <row r="129" spans="1:9" ht="16.5" x14ac:dyDescent="0.25">
      <c r="A129" s="68">
        <v>46062</v>
      </c>
      <c r="B129" s="59"/>
      <c r="C129" s="59"/>
      <c r="D129" s="59" t="s">
        <v>338</v>
      </c>
      <c r="E129" s="62"/>
      <c r="F129" s="62">
        <v>24</v>
      </c>
      <c r="G129" s="80">
        <f t="shared" si="3"/>
        <v>75.25</v>
      </c>
      <c r="H129" s="62"/>
      <c r="I129" s="57"/>
    </row>
    <row r="130" spans="1:9" ht="16.5" x14ac:dyDescent="0.25">
      <c r="A130" s="71">
        <v>46063</v>
      </c>
      <c r="B130" s="72"/>
      <c r="C130" s="72">
        <v>142494</v>
      </c>
      <c r="D130" s="72" t="s">
        <v>129</v>
      </c>
      <c r="E130" s="73">
        <v>200</v>
      </c>
      <c r="F130" s="73"/>
      <c r="G130" s="80">
        <f t="shared" si="3"/>
        <v>275.25</v>
      </c>
      <c r="H130" s="73"/>
      <c r="I130" s="57"/>
    </row>
    <row r="131" spans="1:9" ht="16.5" x14ac:dyDescent="0.25">
      <c r="A131" s="68">
        <v>46063</v>
      </c>
      <c r="B131" s="59"/>
      <c r="C131" s="59"/>
      <c r="D131" s="59" t="s">
        <v>134</v>
      </c>
      <c r="E131" s="62"/>
      <c r="F131" s="62">
        <v>200</v>
      </c>
      <c r="G131" s="80">
        <f t="shared" ref="G131:G194" si="4">G130+E131-F131</f>
        <v>75.25</v>
      </c>
      <c r="H131" s="62"/>
      <c r="I131" s="57"/>
    </row>
    <row r="132" spans="1:9" ht="16.5" x14ac:dyDescent="0.25">
      <c r="A132" s="68">
        <v>46063</v>
      </c>
      <c r="B132" s="59"/>
      <c r="C132" s="59"/>
      <c r="D132" s="59" t="s">
        <v>343</v>
      </c>
      <c r="E132" s="62"/>
      <c r="F132" s="62">
        <v>1.5</v>
      </c>
      <c r="G132" s="80">
        <f t="shared" si="4"/>
        <v>73.75</v>
      </c>
      <c r="H132" s="62"/>
      <c r="I132" s="57"/>
    </row>
    <row r="133" spans="1:9" ht="16.5" x14ac:dyDescent="0.25">
      <c r="A133" s="68">
        <v>46064</v>
      </c>
      <c r="B133" s="59"/>
      <c r="C133" s="59"/>
      <c r="D133" s="59" t="s">
        <v>344</v>
      </c>
      <c r="E133" s="62"/>
      <c r="F133" s="62">
        <v>1.5</v>
      </c>
      <c r="G133" s="80">
        <f t="shared" si="4"/>
        <v>72.25</v>
      </c>
      <c r="H133" s="62"/>
      <c r="I133" s="57"/>
    </row>
    <row r="134" spans="1:9" ht="16.5" x14ac:dyDescent="0.25">
      <c r="A134" s="68">
        <v>46064</v>
      </c>
      <c r="B134" s="59"/>
      <c r="C134" s="59"/>
      <c r="D134" s="59" t="s">
        <v>70</v>
      </c>
      <c r="E134" s="62"/>
      <c r="F134" s="62">
        <v>1</v>
      </c>
      <c r="G134" s="80">
        <f t="shared" si="4"/>
        <v>71.25</v>
      </c>
      <c r="H134" s="62"/>
      <c r="I134" s="57"/>
    </row>
    <row r="135" spans="1:9" ht="16.5" x14ac:dyDescent="0.25">
      <c r="A135" s="68">
        <v>46065</v>
      </c>
      <c r="B135" s="59"/>
      <c r="C135" s="59"/>
      <c r="D135" s="59" t="s">
        <v>143</v>
      </c>
      <c r="E135" s="62"/>
      <c r="F135" s="62">
        <v>2</v>
      </c>
      <c r="G135" s="80">
        <f t="shared" si="4"/>
        <v>69.25</v>
      </c>
      <c r="H135" s="62"/>
      <c r="I135" s="57"/>
    </row>
    <row r="136" spans="1:9" ht="16.5" x14ac:dyDescent="0.25">
      <c r="A136" s="68">
        <v>46066</v>
      </c>
      <c r="B136" s="59"/>
      <c r="C136" s="59"/>
      <c r="D136" s="59" t="s">
        <v>347</v>
      </c>
      <c r="E136" s="62"/>
      <c r="F136" s="62">
        <v>1</v>
      </c>
      <c r="G136" s="80">
        <f t="shared" si="4"/>
        <v>68.25</v>
      </c>
      <c r="H136" s="62"/>
      <c r="I136" s="57"/>
    </row>
    <row r="137" spans="1:9" ht="16.5" x14ac:dyDescent="0.25">
      <c r="A137" s="68">
        <v>46068</v>
      </c>
      <c r="B137" s="59"/>
      <c r="C137" s="59"/>
      <c r="D137" s="59" t="s">
        <v>57</v>
      </c>
      <c r="E137" s="62"/>
      <c r="F137" s="62">
        <v>2</v>
      </c>
      <c r="G137" s="80">
        <f t="shared" si="4"/>
        <v>66.25</v>
      </c>
      <c r="H137" s="62"/>
      <c r="I137" s="57"/>
    </row>
    <row r="138" spans="1:9" ht="16.5" x14ac:dyDescent="0.25">
      <c r="A138" s="68">
        <v>46068</v>
      </c>
      <c r="B138" s="59"/>
      <c r="C138" s="59"/>
      <c r="D138" s="59" t="s">
        <v>69</v>
      </c>
      <c r="E138" s="62"/>
      <c r="F138" s="62">
        <v>12</v>
      </c>
      <c r="G138" s="80">
        <f t="shared" si="4"/>
        <v>54.25</v>
      </c>
      <c r="H138" s="62"/>
      <c r="I138" s="57"/>
    </row>
    <row r="139" spans="1:9" ht="16.5" x14ac:dyDescent="0.25">
      <c r="A139" s="68">
        <v>46068</v>
      </c>
      <c r="B139" s="59"/>
      <c r="C139" s="59"/>
      <c r="D139" s="59" t="s">
        <v>348</v>
      </c>
      <c r="E139" s="62"/>
      <c r="F139" s="62">
        <v>6</v>
      </c>
      <c r="G139" s="80">
        <f t="shared" si="4"/>
        <v>48.25</v>
      </c>
      <c r="H139" s="62"/>
      <c r="I139" s="57"/>
    </row>
    <row r="140" spans="1:9" ht="16.5" x14ac:dyDescent="0.25">
      <c r="A140" s="68">
        <v>46069</v>
      </c>
      <c r="B140" s="59"/>
      <c r="C140" s="59"/>
      <c r="D140" s="59" t="s">
        <v>17</v>
      </c>
      <c r="E140" s="62"/>
      <c r="F140" s="62">
        <v>2</v>
      </c>
      <c r="G140" s="80">
        <f t="shared" si="4"/>
        <v>46.25</v>
      </c>
      <c r="H140" s="62"/>
      <c r="I140" s="57"/>
    </row>
    <row r="141" spans="1:9" ht="16.5" x14ac:dyDescent="0.25">
      <c r="A141" s="68">
        <v>46070</v>
      </c>
      <c r="B141" s="59"/>
      <c r="C141" s="59"/>
      <c r="D141" s="59" t="s">
        <v>315</v>
      </c>
      <c r="E141" s="62"/>
      <c r="F141" s="62">
        <v>2</v>
      </c>
      <c r="G141" s="80">
        <f t="shared" si="4"/>
        <v>44.25</v>
      </c>
      <c r="H141" s="62"/>
      <c r="I141" s="57"/>
    </row>
    <row r="142" spans="1:9" ht="16.5" x14ac:dyDescent="0.25">
      <c r="A142" s="68">
        <v>46070</v>
      </c>
      <c r="B142" s="59"/>
      <c r="C142" s="59"/>
      <c r="D142" s="59" t="s">
        <v>153</v>
      </c>
      <c r="E142" s="62"/>
      <c r="F142" s="62">
        <v>18</v>
      </c>
      <c r="G142" s="80">
        <f t="shared" si="4"/>
        <v>26.25</v>
      </c>
      <c r="H142" s="62"/>
      <c r="I142" s="57"/>
    </row>
    <row r="143" spans="1:9" ht="16.5" x14ac:dyDescent="0.25">
      <c r="A143" s="68">
        <v>46070</v>
      </c>
      <c r="B143" s="59"/>
      <c r="C143" s="59"/>
      <c r="D143" s="59" t="s">
        <v>55</v>
      </c>
      <c r="E143" s="62"/>
      <c r="F143" s="62">
        <v>1</v>
      </c>
      <c r="G143" s="80">
        <f t="shared" si="4"/>
        <v>25.25</v>
      </c>
      <c r="H143" s="62"/>
      <c r="I143" s="57"/>
    </row>
    <row r="144" spans="1:9" ht="16.5" x14ac:dyDescent="0.25">
      <c r="A144" s="68">
        <v>46070</v>
      </c>
      <c r="B144" s="59"/>
      <c r="C144" s="59"/>
      <c r="D144" s="59" t="s">
        <v>349</v>
      </c>
      <c r="E144" s="62"/>
      <c r="F144" s="62">
        <v>1</v>
      </c>
      <c r="G144" s="80">
        <f t="shared" si="4"/>
        <v>24.25</v>
      </c>
      <c r="H144" s="62"/>
      <c r="I144" s="57"/>
    </row>
    <row r="145" spans="1:9" ht="16.5" x14ac:dyDescent="0.25">
      <c r="A145" s="68">
        <v>46072</v>
      </c>
      <c r="B145" s="59">
        <v>2653</v>
      </c>
      <c r="C145" s="59">
        <v>64393</v>
      </c>
      <c r="D145" s="59" t="s">
        <v>331</v>
      </c>
      <c r="E145" s="62"/>
      <c r="F145" s="62">
        <v>15</v>
      </c>
      <c r="G145" s="80">
        <f t="shared" si="4"/>
        <v>9.25</v>
      </c>
      <c r="H145" s="62"/>
      <c r="I145" s="57"/>
    </row>
    <row r="146" spans="1:9" ht="16.5" x14ac:dyDescent="0.25">
      <c r="A146" s="71">
        <v>46073</v>
      </c>
      <c r="B146" s="72"/>
      <c r="C146" s="72">
        <v>140807</v>
      </c>
      <c r="D146" s="72" t="s">
        <v>129</v>
      </c>
      <c r="E146" s="73">
        <v>200</v>
      </c>
      <c r="F146" s="62"/>
      <c r="G146" s="80">
        <f t="shared" si="4"/>
        <v>209.25</v>
      </c>
      <c r="H146" s="62"/>
      <c r="I146" s="57"/>
    </row>
    <row r="147" spans="1:9" ht="16.5" x14ac:dyDescent="0.25">
      <c r="A147" s="68">
        <v>46073</v>
      </c>
      <c r="B147" s="59"/>
      <c r="C147" s="59"/>
      <c r="D147" s="59" t="s">
        <v>354</v>
      </c>
      <c r="E147" s="62"/>
      <c r="F147" s="62">
        <v>16</v>
      </c>
      <c r="G147" s="80">
        <f t="shared" si="4"/>
        <v>193.25</v>
      </c>
      <c r="H147" s="62"/>
      <c r="I147" s="57"/>
    </row>
    <row r="148" spans="1:9" ht="16.5" x14ac:dyDescent="0.25">
      <c r="A148" s="68">
        <v>46073</v>
      </c>
      <c r="B148" s="59">
        <v>2682</v>
      </c>
      <c r="C148" s="59">
        <v>58086</v>
      </c>
      <c r="D148" s="59" t="s">
        <v>100</v>
      </c>
      <c r="E148" s="62"/>
      <c r="F148" s="62">
        <v>20</v>
      </c>
      <c r="G148" s="80">
        <f t="shared" si="4"/>
        <v>173.25</v>
      </c>
      <c r="H148" s="62"/>
      <c r="I148" s="57"/>
    </row>
    <row r="149" spans="1:9" ht="16.5" x14ac:dyDescent="0.25">
      <c r="A149" s="68">
        <v>46074</v>
      </c>
      <c r="B149" s="59"/>
      <c r="C149" s="59"/>
      <c r="D149" s="59" t="s">
        <v>287</v>
      </c>
      <c r="E149" s="62"/>
      <c r="F149" s="62">
        <v>1.5</v>
      </c>
      <c r="G149" s="80">
        <f t="shared" si="4"/>
        <v>171.75</v>
      </c>
      <c r="H149" s="62"/>
      <c r="I149" s="57"/>
    </row>
    <row r="150" spans="1:9" ht="16.5" x14ac:dyDescent="0.25">
      <c r="A150" s="68">
        <v>46074</v>
      </c>
      <c r="B150" s="59"/>
      <c r="C150" s="59"/>
      <c r="D150" s="59" t="s">
        <v>55</v>
      </c>
      <c r="E150" s="62"/>
      <c r="F150" s="62">
        <v>6</v>
      </c>
      <c r="G150" s="80">
        <f t="shared" si="4"/>
        <v>165.75</v>
      </c>
      <c r="H150" s="62"/>
      <c r="I150" s="57"/>
    </row>
    <row r="151" spans="1:9" ht="16.5" x14ac:dyDescent="0.25">
      <c r="A151" s="68">
        <v>46074</v>
      </c>
      <c r="B151" s="59"/>
      <c r="C151" s="59"/>
      <c r="D151" s="59" t="s">
        <v>237</v>
      </c>
      <c r="E151" s="62"/>
      <c r="F151" s="62">
        <v>0.25</v>
      </c>
      <c r="G151" s="80">
        <f t="shared" si="4"/>
        <v>165.5</v>
      </c>
      <c r="H151" s="62"/>
      <c r="I151" s="57"/>
    </row>
    <row r="152" spans="1:9" ht="16.5" x14ac:dyDescent="0.25">
      <c r="A152" s="68">
        <v>46076</v>
      </c>
      <c r="B152" s="59"/>
      <c r="C152" s="59"/>
      <c r="D152" s="59" t="s">
        <v>342</v>
      </c>
      <c r="E152" s="62"/>
      <c r="F152" s="62">
        <v>18</v>
      </c>
      <c r="G152" s="80">
        <f t="shared" si="4"/>
        <v>147.5</v>
      </c>
      <c r="H152" s="62"/>
      <c r="I152" s="57"/>
    </row>
    <row r="153" spans="1:9" ht="16.5" x14ac:dyDescent="0.25">
      <c r="A153" s="68">
        <v>46076</v>
      </c>
      <c r="B153" s="59"/>
      <c r="C153" s="59"/>
      <c r="D153" s="59" t="s">
        <v>17</v>
      </c>
      <c r="E153" s="62"/>
      <c r="F153" s="62">
        <v>16</v>
      </c>
      <c r="G153" s="80">
        <f t="shared" si="4"/>
        <v>131.5</v>
      </c>
      <c r="H153" s="62"/>
      <c r="I153" s="57"/>
    </row>
    <row r="154" spans="1:9" ht="16.5" x14ac:dyDescent="0.25">
      <c r="A154" s="68">
        <v>46077</v>
      </c>
      <c r="B154" s="59"/>
      <c r="C154" s="59"/>
      <c r="D154" s="59" t="s">
        <v>18</v>
      </c>
      <c r="E154" s="62"/>
      <c r="F154" s="62">
        <v>14</v>
      </c>
      <c r="G154" s="80">
        <f t="shared" si="4"/>
        <v>117.5</v>
      </c>
      <c r="H154" s="62"/>
      <c r="I154" s="57"/>
    </row>
    <row r="155" spans="1:9" ht="16.5" x14ac:dyDescent="0.25">
      <c r="A155" s="68">
        <v>46077</v>
      </c>
      <c r="B155" s="59"/>
      <c r="C155" s="59"/>
      <c r="D155" s="59" t="s">
        <v>57</v>
      </c>
      <c r="E155" s="62"/>
      <c r="F155" s="62">
        <v>3</v>
      </c>
      <c r="G155" s="80">
        <f t="shared" si="4"/>
        <v>114.5</v>
      </c>
      <c r="H155" s="62"/>
      <c r="I155" s="57"/>
    </row>
    <row r="156" spans="1:9" ht="16.5" x14ac:dyDescent="0.25">
      <c r="A156" s="68">
        <v>46078</v>
      </c>
      <c r="B156" s="59"/>
      <c r="C156" s="59"/>
      <c r="D156" s="59" t="s">
        <v>362</v>
      </c>
      <c r="E156" s="62"/>
      <c r="F156" s="62">
        <v>1</v>
      </c>
      <c r="G156" s="80">
        <f t="shared" si="4"/>
        <v>113.5</v>
      </c>
      <c r="H156" s="62"/>
      <c r="I156" s="57"/>
    </row>
    <row r="157" spans="1:9" ht="16.5" x14ac:dyDescent="0.25">
      <c r="A157" s="68">
        <v>46079</v>
      </c>
      <c r="B157" s="59"/>
      <c r="C157" s="59"/>
      <c r="D157" s="59" t="s">
        <v>76</v>
      </c>
      <c r="E157" s="62"/>
      <c r="F157" s="62">
        <v>23</v>
      </c>
      <c r="G157" s="80">
        <f t="shared" si="4"/>
        <v>90.5</v>
      </c>
      <c r="H157" s="62"/>
      <c r="I157" s="57"/>
    </row>
    <row r="158" spans="1:9" ht="16.5" x14ac:dyDescent="0.25">
      <c r="A158" s="68">
        <v>46079</v>
      </c>
      <c r="B158" s="59"/>
      <c r="C158" s="59"/>
      <c r="D158" s="59" t="s">
        <v>320</v>
      </c>
      <c r="E158" s="62"/>
      <c r="F158" s="62">
        <v>5.5</v>
      </c>
      <c r="G158" s="80">
        <f t="shared" si="4"/>
        <v>85</v>
      </c>
      <c r="H158" s="62"/>
      <c r="I158" s="57"/>
    </row>
    <row r="159" spans="1:9" ht="16.5" x14ac:dyDescent="0.25">
      <c r="A159" s="68">
        <v>46081</v>
      </c>
      <c r="B159" s="59">
        <v>174692</v>
      </c>
      <c r="C159" s="59">
        <v>64400</v>
      </c>
      <c r="D159" s="59" t="s">
        <v>364</v>
      </c>
      <c r="E159" s="62"/>
      <c r="F159" s="62">
        <v>4</v>
      </c>
      <c r="G159" s="80">
        <f t="shared" si="4"/>
        <v>81</v>
      </c>
      <c r="H159" s="62"/>
      <c r="I159" s="57"/>
    </row>
    <row r="160" spans="1:9" ht="16.5" x14ac:dyDescent="0.25">
      <c r="A160" s="68">
        <v>46082</v>
      </c>
      <c r="B160" s="59"/>
      <c r="C160" s="59"/>
      <c r="D160" s="59" t="s">
        <v>365</v>
      </c>
      <c r="E160" s="62"/>
      <c r="F160" s="62">
        <v>2</v>
      </c>
      <c r="G160" s="80">
        <f t="shared" si="4"/>
        <v>79</v>
      </c>
      <c r="H160" s="62"/>
      <c r="I160" s="57"/>
    </row>
    <row r="161" spans="1:9" ht="16.5" x14ac:dyDescent="0.25">
      <c r="A161" s="68">
        <v>46083</v>
      </c>
      <c r="B161" s="59"/>
      <c r="C161" s="59"/>
      <c r="D161" s="59" t="s">
        <v>346</v>
      </c>
      <c r="E161" s="62"/>
      <c r="F161" s="62">
        <v>1.5</v>
      </c>
      <c r="G161" s="80">
        <f t="shared" si="4"/>
        <v>77.5</v>
      </c>
      <c r="H161" s="62"/>
      <c r="I161" s="57"/>
    </row>
    <row r="162" spans="1:9" ht="16.5" x14ac:dyDescent="0.25">
      <c r="A162" s="68">
        <v>46085</v>
      </c>
      <c r="B162" s="59"/>
      <c r="C162" s="59"/>
      <c r="D162" s="59" t="s">
        <v>369</v>
      </c>
      <c r="E162" s="62"/>
      <c r="F162" s="62">
        <v>0.5</v>
      </c>
      <c r="G162" s="80">
        <f t="shared" si="4"/>
        <v>77</v>
      </c>
      <c r="H162" s="62"/>
      <c r="I162" s="57"/>
    </row>
    <row r="163" spans="1:9" ht="16.5" x14ac:dyDescent="0.25">
      <c r="A163" s="68">
        <v>46085</v>
      </c>
      <c r="B163" s="59"/>
      <c r="C163" s="59"/>
      <c r="D163" s="59" t="s">
        <v>76</v>
      </c>
      <c r="E163" s="62"/>
      <c r="F163" s="62">
        <v>1</v>
      </c>
      <c r="G163" s="80">
        <f t="shared" si="4"/>
        <v>76</v>
      </c>
      <c r="H163" s="62"/>
      <c r="I163" s="57"/>
    </row>
    <row r="164" spans="1:9" ht="16.5" x14ac:dyDescent="0.25">
      <c r="A164" s="71">
        <v>46086</v>
      </c>
      <c r="B164" s="72"/>
      <c r="C164" s="72"/>
      <c r="D164" s="72" t="s">
        <v>16</v>
      </c>
      <c r="E164" s="73">
        <v>50</v>
      </c>
      <c r="F164" s="73"/>
      <c r="G164" s="73">
        <f t="shared" si="4"/>
        <v>126</v>
      </c>
      <c r="H164" s="73"/>
      <c r="I164" s="57"/>
    </row>
    <row r="165" spans="1:9" ht="16.5" x14ac:dyDescent="0.25">
      <c r="A165" s="71">
        <v>46086</v>
      </c>
      <c r="B165" s="72">
        <v>140816</v>
      </c>
      <c r="C165" s="72"/>
      <c r="D165" s="72" t="s">
        <v>129</v>
      </c>
      <c r="E165" s="73">
        <v>200</v>
      </c>
      <c r="F165" s="73"/>
      <c r="G165" s="80">
        <f t="shared" si="4"/>
        <v>326</v>
      </c>
      <c r="H165" s="73"/>
      <c r="I165" s="57"/>
    </row>
    <row r="166" spans="1:9" ht="16.5" x14ac:dyDescent="0.25">
      <c r="A166" s="68">
        <v>46086</v>
      </c>
      <c r="B166" s="59"/>
      <c r="C166" s="59"/>
      <c r="D166" s="59" t="s">
        <v>134</v>
      </c>
      <c r="E166" s="62"/>
      <c r="F166" s="62">
        <v>200</v>
      </c>
      <c r="G166" s="80">
        <f t="shared" si="4"/>
        <v>126</v>
      </c>
      <c r="H166" s="62"/>
      <c r="I166" s="57"/>
    </row>
    <row r="167" spans="1:9" ht="16.5" x14ac:dyDescent="0.25">
      <c r="A167" s="68">
        <v>46086</v>
      </c>
      <c r="B167" s="59"/>
      <c r="C167" s="59"/>
      <c r="D167" s="59" t="s">
        <v>61</v>
      </c>
      <c r="E167" s="62"/>
      <c r="F167" s="62">
        <v>15</v>
      </c>
      <c r="G167" s="80">
        <f t="shared" si="4"/>
        <v>111</v>
      </c>
      <c r="H167" s="62"/>
      <c r="I167" s="57"/>
    </row>
    <row r="168" spans="1:9" ht="16.5" x14ac:dyDescent="0.25">
      <c r="A168" s="71">
        <v>46087</v>
      </c>
      <c r="B168" s="72">
        <v>140818</v>
      </c>
      <c r="C168" s="72"/>
      <c r="D168" s="72" t="s">
        <v>129</v>
      </c>
      <c r="E168" s="73">
        <v>200</v>
      </c>
      <c r="F168" s="73"/>
      <c r="G168" s="73">
        <f t="shared" si="4"/>
        <v>311</v>
      </c>
      <c r="H168" s="73"/>
      <c r="I168" s="57"/>
    </row>
    <row r="169" spans="1:9" ht="16.5" x14ac:dyDescent="0.25">
      <c r="A169" s="68">
        <v>46087</v>
      </c>
      <c r="B169" s="59"/>
      <c r="C169" s="59"/>
      <c r="D169" s="59" t="s">
        <v>193</v>
      </c>
      <c r="E169" s="62"/>
      <c r="F169" s="62">
        <v>1</v>
      </c>
      <c r="G169" s="80">
        <f t="shared" si="4"/>
        <v>310</v>
      </c>
      <c r="H169" s="62"/>
      <c r="I169" s="57"/>
    </row>
    <row r="170" spans="1:9" ht="16.5" x14ac:dyDescent="0.25">
      <c r="A170" s="68">
        <v>46087</v>
      </c>
      <c r="B170" s="59"/>
      <c r="C170" s="59"/>
      <c r="D170" s="59" t="s">
        <v>193</v>
      </c>
      <c r="E170" s="62"/>
      <c r="F170" s="62">
        <v>1</v>
      </c>
      <c r="G170" s="80">
        <f t="shared" si="4"/>
        <v>309</v>
      </c>
      <c r="H170" s="62"/>
      <c r="I170" s="57"/>
    </row>
    <row r="171" spans="1:9" ht="16.5" x14ac:dyDescent="0.25">
      <c r="A171" s="68">
        <v>46088</v>
      </c>
      <c r="B171" s="59">
        <v>2560</v>
      </c>
      <c r="C171" s="59">
        <v>58096</v>
      </c>
      <c r="D171" s="59" t="s">
        <v>370</v>
      </c>
      <c r="E171" s="62"/>
      <c r="F171" s="79">
        <v>40</v>
      </c>
      <c r="G171" s="80">
        <f t="shared" si="4"/>
        <v>269</v>
      </c>
      <c r="H171" s="62"/>
      <c r="I171" s="57"/>
    </row>
    <row r="172" spans="1:9" ht="16.5" x14ac:dyDescent="0.25">
      <c r="A172" s="68">
        <v>46090</v>
      </c>
      <c r="B172" s="59"/>
      <c r="C172" s="59"/>
      <c r="D172" s="59" t="s">
        <v>357</v>
      </c>
      <c r="E172" s="62"/>
      <c r="F172" s="62">
        <v>1</v>
      </c>
      <c r="G172" s="80">
        <f t="shared" si="4"/>
        <v>268</v>
      </c>
      <c r="H172" s="62"/>
      <c r="I172" s="57"/>
    </row>
    <row r="173" spans="1:9" ht="16.5" x14ac:dyDescent="0.25">
      <c r="A173" s="68">
        <v>46091</v>
      </c>
      <c r="B173" s="59"/>
      <c r="C173" s="59"/>
      <c r="D173" s="59" t="s">
        <v>375</v>
      </c>
      <c r="E173" s="62"/>
      <c r="F173" s="62">
        <v>5</v>
      </c>
      <c r="G173" s="80">
        <f t="shared" si="4"/>
        <v>263</v>
      </c>
      <c r="H173" s="62"/>
      <c r="I173" s="57"/>
    </row>
    <row r="174" spans="1:9" ht="16.5" x14ac:dyDescent="0.25">
      <c r="A174" s="68">
        <v>46091</v>
      </c>
      <c r="B174" s="59">
        <v>2645</v>
      </c>
      <c r="C174" s="59">
        <v>58097</v>
      </c>
      <c r="D174" s="59" t="s">
        <v>376</v>
      </c>
      <c r="E174" s="62"/>
      <c r="F174" s="79">
        <v>30</v>
      </c>
      <c r="G174" s="80">
        <f t="shared" si="4"/>
        <v>233</v>
      </c>
      <c r="H174" s="62"/>
      <c r="I174" s="57"/>
    </row>
    <row r="175" spans="1:9" ht="16.5" x14ac:dyDescent="0.25">
      <c r="A175" s="68">
        <v>46092</v>
      </c>
      <c r="B175" s="59"/>
      <c r="C175" s="59"/>
      <c r="D175" s="59" t="s">
        <v>379</v>
      </c>
      <c r="E175" s="62"/>
      <c r="F175" s="62">
        <v>1</v>
      </c>
      <c r="G175" s="80">
        <f t="shared" si="4"/>
        <v>232</v>
      </c>
      <c r="H175" s="62"/>
      <c r="I175" s="57"/>
    </row>
    <row r="176" spans="1:9" ht="16.5" x14ac:dyDescent="0.25">
      <c r="A176" s="68">
        <v>46064</v>
      </c>
      <c r="B176" s="59">
        <v>110810</v>
      </c>
      <c r="C176" s="59">
        <v>57852</v>
      </c>
      <c r="D176" s="59" t="s">
        <v>219</v>
      </c>
      <c r="E176" s="62"/>
      <c r="F176" s="62">
        <v>10</v>
      </c>
      <c r="G176" s="80">
        <f t="shared" si="4"/>
        <v>222</v>
      </c>
      <c r="H176" s="62"/>
      <c r="I176" s="57"/>
    </row>
    <row r="177" spans="1:9" ht="16.5" x14ac:dyDescent="0.25">
      <c r="A177" s="68">
        <v>46093</v>
      </c>
      <c r="B177" s="59"/>
      <c r="C177" s="59"/>
      <c r="D177" s="59" t="s">
        <v>95</v>
      </c>
      <c r="E177" s="62"/>
      <c r="F177" s="62">
        <v>1.5</v>
      </c>
      <c r="G177" s="80">
        <f t="shared" si="4"/>
        <v>220.5</v>
      </c>
      <c r="H177" s="62"/>
      <c r="I177" s="57"/>
    </row>
    <row r="178" spans="1:9" ht="16.5" x14ac:dyDescent="0.25">
      <c r="A178" s="68">
        <v>46093</v>
      </c>
      <c r="B178" s="59"/>
      <c r="C178" s="59"/>
      <c r="D178" s="59" t="s">
        <v>380</v>
      </c>
      <c r="E178" s="62"/>
      <c r="F178" s="62">
        <v>4</v>
      </c>
      <c r="G178" s="80">
        <f t="shared" si="4"/>
        <v>216.5</v>
      </c>
      <c r="H178" s="62"/>
      <c r="I178" s="57"/>
    </row>
    <row r="179" spans="1:9" ht="16.5" x14ac:dyDescent="0.25">
      <c r="A179" s="68">
        <v>46094</v>
      </c>
      <c r="B179" s="59"/>
      <c r="C179" s="59"/>
      <c r="D179" s="59" t="s">
        <v>381</v>
      </c>
      <c r="E179" s="62"/>
      <c r="F179" s="62">
        <v>6</v>
      </c>
      <c r="G179" s="80">
        <f t="shared" si="4"/>
        <v>210.5</v>
      </c>
      <c r="H179" s="62"/>
      <c r="I179" s="57"/>
    </row>
    <row r="180" spans="1:9" ht="16.5" x14ac:dyDescent="0.25">
      <c r="A180" s="68">
        <v>46096</v>
      </c>
      <c r="B180" s="59"/>
      <c r="C180" s="59"/>
      <c r="D180" s="59" t="s">
        <v>75</v>
      </c>
      <c r="E180" s="62"/>
      <c r="F180" s="62">
        <v>2</v>
      </c>
      <c r="G180" s="80">
        <f t="shared" si="4"/>
        <v>208.5</v>
      </c>
      <c r="H180" s="62"/>
      <c r="I180" s="57"/>
    </row>
    <row r="181" spans="1:9" ht="16.5" x14ac:dyDescent="0.25">
      <c r="A181" s="68">
        <v>46096</v>
      </c>
      <c r="B181" s="59"/>
      <c r="C181" s="59"/>
      <c r="D181" s="59" t="s">
        <v>357</v>
      </c>
      <c r="E181" s="62"/>
      <c r="F181" s="62">
        <v>1</v>
      </c>
      <c r="G181" s="80">
        <f t="shared" si="4"/>
        <v>207.5</v>
      </c>
      <c r="H181" s="62"/>
      <c r="I181" s="57"/>
    </row>
    <row r="182" spans="1:9" ht="16.5" x14ac:dyDescent="0.25">
      <c r="A182" s="68">
        <v>46099</v>
      </c>
      <c r="B182" s="59"/>
      <c r="C182" s="59"/>
      <c r="D182" s="59" t="s">
        <v>379</v>
      </c>
      <c r="E182" s="62"/>
      <c r="F182" s="62">
        <v>6</v>
      </c>
      <c r="G182" s="80">
        <f t="shared" si="4"/>
        <v>201.5</v>
      </c>
      <c r="H182" s="62"/>
      <c r="I182" s="57"/>
    </row>
    <row r="183" spans="1:9" ht="16.5" x14ac:dyDescent="0.25">
      <c r="A183" s="68">
        <v>46099</v>
      </c>
      <c r="B183" s="59"/>
      <c r="C183" s="59"/>
      <c r="D183" s="59" t="s">
        <v>80</v>
      </c>
      <c r="E183" s="62"/>
      <c r="F183" s="62">
        <v>1</v>
      </c>
      <c r="G183" s="80">
        <f t="shared" si="4"/>
        <v>200.5</v>
      </c>
      <c r="H183" s="62"/>
      <c r="I183" s="57"/>
    </row>
    <row r="184" spans="1:9" ht="16.5" x14ac:dyDescent="0.25">
      <c r="A184" s="68">
        <v>46099</v>
      </c>
      <c r="B184" s="59"/>
      <c r="C184" s="59"/>
      <c r="D184" s="59" t="s">
        <v>62</v>
      </c>
      <c r="E184" s="62"/>
      <c r="F184" s="62">
        <v>6</v>
      </c>
      <c r="G184" s="80">
        <f t="shared" si="4"/>
        <v>194.5</v>
      </c>
      <c r="H184" s="62"/>
      <c r="I184" s="57"/>
    </row>
    <row r="185" spans="1:9" ht="16.5" x14ac:dyDescent="0.25">
      <c r="A185" s="68">
        <v>46099</v>
      </c>
      <c r="B185" s="59">
        <v>2785</v>
      </c>
      <c r="C185" s="59">
        <v>64211</v>
      </c>
      <c r="D185" s="59" t="s">
        <v>324</v>
      </c>
      <c r="E185" s="62"/>
      <c r="F185" s="62">
        <v>30</v>
      </c>
      <c r="G185" s="80">
        <f t="shared" si="4"/>
        <v>164.5</v>
      </c>
      <c r="H185" s="62">
        <v>46097</v>
      </c>
      <c r="I185" s="57"/>
    </row>
    <row r="186" spans="1:9" ht="16.5" x14ac:dyDescent="0.25">
      <c r="A186" s="68">
        <v>46100</v>
      </c>
      <c r="B186" s="59"/>
      <c r="C186" s="59"/>
      <c r="D186" s="59" t="s">
        <v>379</v>
      </c>
      <c r="E186" s="62"/>
      <c r="F186" s="62">
        <v>1</v>
      </c>
      <c r="G186" s="80">
        <f t="shared" si="4"/>
        <v>163.5</v>
      </c>
      <c r="H186" s="62"/>
      <c r="I186" s="57"/>
    </row>
    <row r="187" spans="1:9" ht="16.5" x14ac:dyDescent="0.25">
      <c r="A187" s="68">
        <v>46100</v>
      </c>
      <c r="B187" s="59"/>
      <c r="C187" s="59"/>
      <c r="D187" s="59" t="s">
        <v>357</v>
      </c>
      <c r="E187" s="62"/>
      <c r="F187" s="62">
        <v>1</v>
      </c>
      <c r="G187" s="80">
        <f t="shared" si="4"/>
        <v>162.5</v>
      </c>
      <c r="H187" s="62"/>
      <c r="I187" s="57"/>
    </row>
    <row r="188" spans="1:9" ht="16.5" x14ac:dyDescent="0.25">
      <c r="A188" s="68">
        <v>46101</v>
      </c>
      <c r="B188" s="59"/>
      <c r="C188" s="59"/>
      <c r="D188" s="59" t="s">
        <v>385</v>
      </c>
      <c r="E188" s="62"/>
      <c r="F188" s="62">
        <v>20</v>
      </c>
      <c r="G188" s="80">
        <f t="shared" si="4"/>
        <v>142.5</v>
      </c>
      <c r="H188" s="62"/>
      <c r="I188" s="57"/>
    </row>
    <row r="189" spans="1:9" ht="16.5" x14ac:dyDescent="0.25">
      <c r="A189" s="68">
        <v>46101</v>
      </c>
      <c r="B189" s="59"/>
      <c r="C189" s="59"/>
      <c r="D189" s="59" t="s">
        <v>80</v>
      </c>
      <c r="E189" s="62"/>
      <c r="F189" s="62">
        <v>6</v>
      </c>
      <c r="G189" s="80">
        <f t="shared" si="4"/>
        <v>136.5</v>
      </c>
      <c r="H189" s="62"/>
      <c r="I189" s="57"/>
    </row>
    <row r="190" spans="1:9" ht="16.5" x14ac:dyDescent="0.25">
      <c r="A190" s="68">
        <v>46102</v>
      </c>
      <c r="B190" s="59"/>
      <c r="C190" s="59"/>
      <c r="D190" s="59" t="s">
        <v>18</v>
      </c>
      <c r="E190" s="62"/>
      <c r="F190" s="62">
        <v>1</v>
      </c>
      <c r="G190" s="80">
        <f t="shared" si="4"/>
        <v>135.5</v>
      </c>
      <c r="H190" s="62"/>
      <c r="I190" s="57"/>
    </row>
    <row r="191" spans="1:9" ht="16.5" x14ac:dyDescent="0.25">
      <c r="A191" s="68">
        <v>46102</v>
      </c>
      <c r="B191" s="59"/>
      <c r="C191" s="59"/>
      <c r="D191" s="59" t="s">
        <v>301</v>
      </c>
      <c r="E191" s="62"/>
      <c r="F191" s="62">
        <v>9</v>
      </c>
      <c r="G191" s="80">
        <f t="shared" si="4"/>
        <v>126.5</v>
      </c>
      <c r="H191" s="62"/>
      <c r="I191" s="57"/>
    </row>
    <row r="192" spans="1:9" ht="16.5" x14ac:dyDescent="0.25">
      <c r="A192" s="68">
        <v>46103</v>
      </c>
      <c r="B192" s="59"/>
      <c r="C192" s="59"/>
      <c r="D192" s="59" t="s">
        <v>388</v>
      </c>
      <c r="E192" s="62"/>
      <c r="F192" s="62">
        <v>0.5</v>
      </c>
      <c r="G192" s="80">
        <f t="shared" si="4"/>
        <v>126</v>
      </c>
      <c r="H192" s="62"/>
      <c r="I192" s="57"/>
    </row>
    <row r="193" spans="1:9" ht="16.5" x14ac:dyDescent="0.25">
      <c r="A193" s="68">
        <v>46103</v>
      </c>
      <c r="B193" s="59"/>
      <c r="C193" s="59"/>
      <c r="D193" s="59" t="s">
        <v>389</v>
      </c>
      <c r="E193" s="62"/>
      <c r="F193" s="62">
        <v>0.5</v>
      </c>
      <c r="G193" s="80">
        <f t="shared" si="4"/>
        <v>125.5</v>
      </c>
      <c r="H193" s="62"/>
      <c r="I193" s="57"/>
    </row>
    <row r="194" spans="1:9" ht="16.5" x14ac:dyDescent="0.25">
      <c r="A194" s="68">
        <v>46104</v>
      </c>
      <c r="B194" s="59"/>
      <c r="C194" s="59"/>
      <c r="D194" s="59" t="s">
        <v>82</v>
      </c>
      <c r="E194" s="62"/>
      <c r="F194" s="62">
        <v>12</v>
      </c>
      <c r="G194" s="80">
        <f t="shared" si="4"/>
        <v>113.5</v>
      </c>
      <c r="H194" s="62"/>
      <c r="I194" s="57"/>
    </row>
    <row r="195" spans="1:9" ht="16.5" x14ac:dyDescent="0.25">
      <c r="A195" s="68">
        <v>46104</v>
      </c>
      <c r="B195" s="59"/>
      <c r="C195" s="59"/>
      <c r="D195" s="59" t="s">
        <v>390</v>
      </c>
      <c r="E195" s="62"/>
      <c r="F195" s="62">
        <v>2</v>
      </c>
      <c r="G195" s="80">
        <f t="shared" ref="G195:G206" si="5">G194+E195-F195</f>
        <v>111.5</v>
      </c>
      <c r="H195" s="62"/>
      <c r="I195" s="57"/>
    </row>
    <row r="196" spans="1:9" ht="16.5" x14ac:dyDescent="0.25">
      <c r="A196" s="68">
        <v>46105</v>
      </c>
      <c r="B196" s="59"/>
      <c r="C196" s="59">
        <v>57858</v>
      </c>
      <c r="D196" s="59" t="s">
        <v>331</v>
      </c>
      <c r="E196" s="62"/>
      <c r="F196" s="62">
        <v>10</v>
      </c>
      <c r="G196" s="80">
        <f t="shared" si="5"/>
        <v>101.5</v>
      </c>
      <c r="H196" s="62"/>
      <c r="I196" s="57"/>
    </row>
    <row r="197" spans="1:9" ht="16.5" x14ac:dyDescent="0.25">
      <c r="A197" s="68">
        <v>46105</v>
      </c>
      <c r="B197" s="59"/>
      <c r="C197" s="59"/>
      <c r="D197" s="59" t="s">
        <v>391</v>
      </c>
      <c r="E197" s="62"/>
      <c r="F197" s="62">
        <v>1.25</v>
      </c>
      <c r="G197" s="80">
        <f t="shared" si="5"/>
        <v>100.25</v>
      </c>
      <c r="H197" s="62"/>
      <c r="I197" s="57"/>
    </row>
    <row r="198" spans="1:9" ht="16.5" x14ac:dyDescent="0.25">
      <c r="A198" s="68">
        <v>46106</v>
      </c>
      <c r="B198" s="59"/>
      <c r="C198" s="59"/>
      <c r="D198" s="59" t="s">
        <v>392</v>
      </c>
      <c r="E198" s="62"/>
      <c r="F198" s="62">
        <v>2.5</v>
      </c>
      <c r="G198" s="80">
        <f t="shared" si="5"/>
        <v>97.75</v>
      </c>
      <c r="H198" s="62"/>
      <c r="I198" s="57"/>
    </row>
    <row r="199" spans="1:9" ht="16.5" x14ac:dyDescent="0.25">
      <c r="A199" s="68">
        <v>46106</v>
      </c>
      <c r="B199" s="59"/>
      <c r="C199" s="59"/>
      <c r="D199" s="59" t="s">
        <v>57</v>
      </c>
      <c r="E199" s="62"/>
      <c r="F199" s="62">
        <v>28</v>
      </c>
      <c r="G199" s="80">
        <f t="shared" si="5"/>
        <v>69.75</v>
      </c>
      <c r="H199" s="62"/>
      <c r="I199" s="57"/>
    </row>
    <row r="200" spans="1:9" ht="16.5" x14ac:dyDescent="0.25">
      <c r="A200" s="68">
        <v>46107</v>
      </c>
      <c r="B200" s="59"/>
      <c r="C200" s="59"/>
      <c r="D200" s="59" t="s">
        <v>391</v>
      </c>
      <c r="E200" s="62"/>
      <c r="F200" s="62">
        <v>2</v>
      </c>
      <c r="G200" s="80">
        <f t="shared" si="5"/>
        <v>67.75</v>
      </c>
      <c r="H200" s="62"/>
      <c r="I200" s="57"/>
    </row>
    <row r="201" spans="1:9" ht="16.5" x14ac:dyDescent="0.25">
      <c r="A201" s="68">
        <v>46108</v>
      </c>
      <c r="B201" s="59"/>
      <c r="C201" s="59"/>
      <c r="D201" s="59" t="s">
        <v>394</v>
      </c>
      <c r="E201" s="62"/>
      <c r="F201" s="62">
        <v>0.25</v>
      </c>
      <c r="G201" s="80">
        <f t="shared" si="5"/>
        <v>67.5</v>
      </c>
      <c r="H201" s="62"/>
      <c r="I201" s="57"/>
    </row>
    <row r="202" spans="1:9" ht="16.5" x14ac:dyDescent="0.25">
      <c r="A202" s="68">
        <v>46108</v>
      </c>
      <c r="B202" s="59"/>
      <c r="C202" s="59"/>
      <c r="D202" s="59" t="s">
        <v>20</v>
      </c>
      <c r="E202" s="62"/>
      <c r="F202" s="62">
        <v>6</v>
      </c>
      <c r="G202" s="80">
        <f t="shared" si="5"/>
        <v>61.5</v>
      </c>
      <c r="H202" s="62"/>
      <c r="I202" s="57"/>
    </row>
    <row r="203" spans="1:9" ht="16.5" x14ac:dyDescent="0.25">
      <c r="A203" s="68">
        <v>46108</v>
      </c>
      <c r="B203" s="59"/>
      <c r="C203" s="59"/>
      <c r="D203" s="59" t="s">
        <v>387</v>
      </c>
      <c r="E203" s="62"/>
      <c r="F203" s="62">
        <v>5</v>
      </c>
      <c r="G203" s="80">
        <f t="shared" si="5"/>
        <v>56.5</v>
      </c>
      <c r="H203" s="62"/>
      <c r="I203" s="57"/>
    </row>
    <row r="204" spans="1:9" ht="16.5" x14ac:dyDescent="0.25">
      <c r="A204" s="68">
        <v>46108</v>
      </c>
      <c r="B204" s="59">
        <v>2785</v>
      </c>
      <c r="C204" s="59">
        <v>64219</v>
      </c>
      <c r="D204" s="59" t="s">
        <v>324</v>
      </c>
      <c r="E204" s="62"/>
      <c r="F204" s="62">
        <v>20</v>
      </c>
      <c r="G204" s="80">
        <f t="shared" si="5"/>
        <v>36.5</v>
      </c>
      <c r="H204" s="62"/>
      <c r="I204" s="57"/>
    </row>
    <row r="205" spans="1:9" ht="16.5" x14ac:dyDescent="0.25">
      <c r="A205" s="71">
        <v>46108</v>
      </c>
      <c r="B205" s="72">
        <v>140836</v>
      </c>
      <c r="C205" s="72"/>
      <c r="D205" s="72" t="s">
        <v>129</v>
      </c>
      <c r="E205" s="73">
        <v>200</v>
      </c>
      <c r="F205" s="73"/>
      <c r="G205" s="73">
        <f t="shared" si="5"/>
        <v>236.5</v>
      </c>
      <c r="H205" s="73"/>
      <c r="I205" s="57"/>
    </row>
    <row r="206" spans="1:9" ht="16.5" x14ac:dyDescent="0.25">
      <c r="A206" s="68">
        <v>46108</v>
      </c>
      <c r="B206" s="59"/>
      <c r="C206" s="59"/>
      <c r="D206" s="59" t="s">
        <v>80</v>
      </c>
      <c r="E206" s="62"/>
      <c r="F206" s="62">
        <v>1</v>
      </c>
      <c r="G206" s="80">
        <f t="shared" si="5"/>
        <v>235.5</v>
      </c>
      <c r="H206" s="62"/>
      <c r="I206" s="57"/>
    </row>
    <row r="207" spans="1:9" ht="16.5" x14ac:dyDescent="0.25">
      <c r="A207" s="68">
        <v>46109</v>
      </c>
      <c r="B207" s="59"/>
      <c r="C207" s="59"/>
      <c r="D207" s="59" t="s">
        <v>83</v>
      </c>
      <c r="E207" s="62"/>
      <c r="F207" s="62">
        <v>8</v>
      </c>
      <c r="G207" s="80">
        <f t="shared" ref="G207:G217" si="6">G206+E207-F207</f>
        <v>227.5</v>
      </c>
      <c r="H207" s="62"/>
      <c r="I207" s="57">
        <f>241+15</f>
        <v>256</v>
      </c>
    </row>
    <row r="208" spans="1:9" ht="16.5" x14ac:dyDescent="0.25">
      <c r="A208" s="68">
        <v>46112</v>
      </c>
      <c r="B208" s="59">
        <v>198656</v>
      </c>
      <c r="C208" s="59">
        <v>57865</v>
      </c>
      <c r="D208" s="59" t="s">
        <v>395</v>
      </c>
      <c r="E208" s="62"/>
      <c r="F208" s="62">
        <v>10</v>
      </c>
      <c r="G208" s="80">
        <f t="shared" si="6"/>
        <v>217.5</v>
      </c>
      <c r="H208" s="62"/>
      <c r="I208" s="57"/>
    </row>
    <row r="209" spans="1:9" ht="16.5" x14ac:dyDescent="0.25">
      <c r="A209" s="68">
        <v>46112</v>
      </c>
      <c r="B209" s="59"/>
      <c r="C209" s="59"/>
      <c r="D209" s="59" t="s">
        <v>287</v>
      </c>
      <c r="E209" s="62"/>
      <c r="F209" s="62">
        <v>1</v>
      </c>
      <c r="G209" s="80">
        <f t="shared" si="6"/>
        <v>216.5</v>
      </c>
      <c r="H209" s="62"/>
      <c r="I209" s="57"/>
    </row>
    <row r="210" spans="1:9" ht="16.5" x14ac:dyDescent="0.25">
      <c r="A210" s="68">
        <v>46113</v>
      </c>
      <c r="B210" s="59"/>
      <c r="C210" s="59"/>
      <c r="D210" s="59" t="s">
        <v>96</v>
      </c>
      <c r="E210" s="62"/>
      <c r="F210" s="62">
        <v>3.5</v>
      </c>
      <c r="G210" s="80">
        <f t="shared" si="6"/>
        <v>213</v>
      </c>
      <c r="H210" s="62"/>
      <c r="I210" s="57"/>
    </row>
    <row r="211" spans="1:9" ht="16.5" x14ac:dyDescent="0.25">
      <c r="A211" s="68">
        <v>46113</v>
      </c>
      <c r="B211" s="59"/>
      <c r="C211" s="59"/>
      <c r="D211" s="59" t="s">
        <v>79</v>
      </c>
      <c r="E211" s="62"/>
      <c r="F211" s="62">
        <v>2</v>
      </c>
      <c r="G211" s="80">
        <f t="shared" si="6"/>
        <v>211</v>
      </c>
      <c r="H211" s="62"/>
      <c r="I211" s="57"/>
    </row>
    <row r="212" spans="1:9" ht="16.5" x14ac:dyDescent="0.25">
      <c r="A212" s="68">
        <v>46114</v>
      </c>
      <c r="B212" s="59"/>
      <c r="C212" s="59"/>
      <c r="D212" s="59" t="s">
        <v>401</v>
      </c>
      <c r="E212" s="62"/>
      <c r="F212" s="62">
        <v>26</v>
      </c>
      <c r="G212" s="80">
        <f t="shared" si="6"/>
        <v>185</v>
      </c>
      <c r="H212" s="62"/>
      <c r="I212" s="57"/>
    </row>
    <row r="213" spans="1:9" ht="16.5" x14ac:dyDescent="0.25">
      <c r="A213" s="68">
        <v>46115</v>
      </c>
      <c r="B213" s="59"/>
      <c r="C213" s="59"/>
      <c r="D213" s="59" t="s">
        <v>401</v>
      </c>
      <c r="E213" s="62"/>
      <c r="F213" s="62">
        <v>2</v>
      </c>
      <c r="G213" s="80">
        <f t="shared" si="6"/>
        <v>183</v>
      </c>
      <c r="H213" s="62"/>
      <c r="I213" s="57"/>
    </row>
    <row r="214" spans="1:9" ht="16.5" x14ac:dyDescent="0.25">
      <c r="A214" s="68">
        <v>46115</v>
      </c>
      <c r="B214" s="59"/>
      <c r="C214" s="59"/>
      <c r="D214" s="59" t="s">
        <v>379</v>
      </c>
      <c r="E214" s="62"/>
      <c r="F214" s="62">
        <v>6.5</v>
      </c>
      <c r="G214" s="80">
        <f t="shared" si="6"/>
        <v>176.5</v>
      </c>
      <c r="H214" s="62"/>
      <c r="I214" s="57"/>
    </row>
    <row r="215" spans="1:9" ht="16.5" x14ac:dyDescent="0.25">
      <c r="A215" s="68">
        <v>46122</v>
      </c>
      <c r="B215" s="59"/>
      <c r="C215" s="59"/>
      <c r="D215" s="59" t="s">
        <v>62</v>
      </c>
      <c r="E215" s="62"/>
      <c r="F215" s="62">
        <v>1.5</v>
      </c>
      <c r="G215" s="80">
        <f t="shared" si="6"/>
        <v>175</v>
      </c>
      <c r="H215" s="62"/>
      <c r="I215" s="57"/>
    </row>
    <row r="216" spans="1:9" ht="16.5" x14ac:dyDescent="0.25">
      <c r="A216" s="68">
        <v>46122</v>
      </c>
      <c r="B216" s="59"/>
      <c r="C216" s="59"/>
      <c r="D216" s="59" t="s">
        <v>402</v>
      </c>
      <c r="E216" s="62"/>
      <c r="F216" s="62">
        <v>2</v>
      </c>
      <c r="G216" s="80">
        <f t="shared" si="6"/>
        <v>173</v>
      </c>
      <c r="H216" s="62"/>
      <c r="I216" s="57"/>
    </row>
    <row r="217" spans="1:9" ht="16.5" x14ac:dyDescent="0.25">
      <c r="A217" s="138">
        <v>46132</v>
      </c>
      <c r="B217" s="59"/>
      <c r="C217" s="59"/>
      <c r="D217" s="59" t="s">
        <v>403</v>
      </c>
      <c r="E217" s="62"/>
      <c r="F217" s="79">
        <v>0.5</v>
      </c>
      <c r="G217" s="80">
        <f t="shared" si="6"/>
        <v>172.5</v>
      </c>
      <c r="H217" s="62"/>
      <c r="I217" s="57"/>
    </row>
    <row r="218" spans="1:9" ht="16.5" x14ac:dyDescent="0.25">
      <c r="A218" s="138">
        <v>46134</v>
      </c>
      <c r="B218" s="59"/>
      <c r="C218" s="59"/>
      <c r="D218" s="59" t="s">
        <v>406</v>
      </c>
      <c r="E218" s="62"/>
      <c r="F218" s="79">
        <v>20</v>
      </c>
      <c r="G218" s="80">
        <f>G217+E218-F218</f>
        <v>152.5</v>
      </c>
      <c r="H218" s="62"/>
      <c r="I218" s="57"/>
    </row>
    <row r="219" spans="1:9" ht="16.5" x14ac:dyDescent="0.25">
      <c r="A219" s="138">
        <v>46134</v>
      </c>
      <c r="B219" s="59"/>
      <c r="C219" s="59"/>
      <c r="D219" s="59" t="s">
        <v>407</v>
      </c>
      <c r="E219" s="62"/>
      <c r="F219" s="79">
        <v>10</v>
      </c>
      <c r="G219" s="80">
        <f>G218+E219-F219</f>
        <v>142.5</v>
      </c>
      <c r="H219" s="62"/>
      <c r="I219" s="57"/>
    </row>
    <row r="220" spans="1:9" ht="16.5" x14ac:dyDescent="0.25">
      <c r="A220" s="138">
        <v>46134</v>
      </c>
      <c r="B220" s="59"/>
      <c r="C220" s="59"/>
      <c r="D220" s="59" t="s">
        <v>408</v>
      </c>
      <c r="E220" s="62"/>
      <c r="F220" s="79">
        <v>1</v>
      </c>
      <c r="G220" s="80">
        <f>G219+E220-F220</f>
        <v>141.5</v>
      </c>
      <c r="H220" s="62"/>
      <c r="I220" s="57"/>
    </row>
    <row r="221" spans="1:9" ht="16.5" x14ac:dyDescent="0.25">
      <c r="A221" s="138">
        <v>46137</v>
      </c>
      <c r="B221" s="59"/>
      <c r="C221" s="59"/>
      <c r="D221" s="59" t="s">
        <v>413</v>
      </c>
      <c r="E221" s="62"/>
      <c r="F221" s="79">
        <v>1</v>
      </c>
      <c r="G221" s="80">
        <f>G220+E221-F221</f>
        <v>140.5</v>
      </c>
      <c r="H221" s="62"/>
      <c r="I221" s="57"/>
    </row>
    <row r="222" spans="1:9" ht="16.5" x14ac:dyDescent="0.25">
      <c r="A222" s="138">
        <v>46139</v>
      </c>
      <c r="B222" s="59"/>
      <c r="C222" s="59"/>
      <c r="D222" s="59" t="s">
        <v>414</v>
      </c>
      <c r="E222" s="62"/>
      <c r="F222" s="79">
        <v>10</v>
      </c>
      <c r="G222" s="80">
        <f>G221+E222-F222</f>
        <v>130.5</v>
      </c>
      <c r="H222" s="62"/>
      <c r="I222" s="57"/>
    </row>
    <row r="223" spans="1:9" ht="16.5" x14ac:dyDescent="0.25">
      <c r="A223" s="138">
        <v>46140</v>
      </c>
      <c r="B223" s="59"/>
      <c r="C223" s="59"/>
      <c r="D223" s="59" t="s">
        <v>416</v>
      </c>
      <c r="E223" s="62"/>
      <c r="F223" s="79">
        <v>15</v>
      </c>
      <c r="G223" s="80">
        <f t="shared" ref="G223:G231" si="7">G222+E223-F223</f>
        <v>115.5</v>
      </c>
      <c r="H223" s="62"/>
      <c r="I223" s="57"/>
    </row>
    <row r="224" spans="1:9" ht="16.5" x14ac:dyDescent="0.25">
      <c r="A224" s="138">
        <v>46140</v>
      </c>
      <c r="B224" s="59"/>
      <c r="C224" s="59"/>
      <c r="D224" s="59" t="s">
        <v>90</v>
      </c>
      <c r="E224" s="62"/>
      <c r="F224" s="79">
        <v>10</v>
      </c>
      <c r="G224" s="80">
        <f t="shared" si="7"/>
        <v>105.5</v>
      </c>
      <c r="H224" s="62"/>
      <c r="I224" s="57"/>
    </row>
    <row r="225" spans="1:9" ht="16.5" x14ac:dyDescent="0.25">
      <c r="A225" s="71">
        <v>46140</v>
      </c>
      <c r="B225" s="72">
        <v>167403</v>
      </c>
      <c r="C225" s="72"/>
      <c r="D225" s="72" t="s">
        <v>129</v>
      </c>
      <c r="E225" s="73">
        <v>200</v>
      </c>
      <c r="F225" s="73"/>
      <c r="G225" s="73">
        <f t="shared" si="7"/>
        <v>305.5</v>
      </c>
      <c r="H225" s="73"/>
      <c r="I225" s="57"/>
    </row>
    <row r="226" spans="1:9" ht="16.5" x14ac:dyDescent="0.25">
      <c r="A226" s="138">
        <v>46140</v>
      </c>
      <c r="B226" s="59"/>
      <c r="C226" s="59"/>
      <c r="D226" s="59" t="s">
        <v>426</v>
      </c>
      <c r="E226" s="62"/>
      <c r="F226" s="79">
        <v>43</v>
      </c>
      <c r="G226" s="80">
        <f t="shared" si="7"/>
        <v>262.5</v>
      </c>
      <c r="H226" s="62">
        <v>46118</v>
      </c>
      <c r="I226" s="57"/>
    </row>
    <row r="227" spans="1:9" ht="16.5" x14ac:dyDescent="0.25">
      <c r="A227" s="68">
        <v>46140</v>
      </c>
      <c r="B227" s="59"/>
      <c r="C227" s="59"/>
      <c r="D227" s="59" t="s">
        <v>427</v>
      </c>
      <c r="E227" s="62"/>
      <c r="F227" s="62">
        <v>22</v>
      </c>
      <c r="G227" s="80">
        <f t="shared" si="7"/>
        <v>240.5</v>
      </c>
      <c r="H227" s="62">
        <v>46118</v>
      </c>
      <c r="I227" s="57"/>
    </row>
    <row r="228" spans="1:9" ht="16.5" x14ac:dyDescent="0.25">
      <c r="A228" s="68">
        <v>46146</v>
      </c>
      <c r="B228" s="59"/>
      <c r="C228" s="59"/>
      <c r="D228" s="101" t="s">
        <v>134</v>
      </c>
      <c r="E228" s="62"/>
      <c r="F228" s="62">
        <v>200</v>
      </c>
      <c r="G228" s="80">
        <f t="shared" si="7"/>
        <v>40.5</v>
      </c>
      <c r="H228" s="62"/>
      <c r="I228" s="57"/>
    </row>
    <row r="229" spans="1:9" ht="16.5" x14ac:dyDescent="0.25">
      <c r="A229" s="71">
        <v>46146</v>
      </c>
      <c r="B229" s="72">
        <v>167408</v>
      </c>
      <c r="C229" s="72"/>
      <c r="D229" s="72" t="s">
        <v>129</v>
      </c>
      <c r="E229" s="73">
        <v>200</v>
      </c>
      <c r="F229" s="73"/>
      <c r="G229" s="73">
        <f t="shared" si="7"/>
        <v>240.5</v>
      </c>
      <c r="H229" s="73"/>
      <c r="I229" s="57"/>
    </row>
    <row r="230" spans="1:9" ht="16.5" x14ac:dyDescent="0.25">
      <c r="A230" s="68">
        <v>46148</v>
      </c>
      <c r="B230" s="59"/>
      <c r="C230" s="59"/>
      <c r="D230" s="59" t="s">
        <v>406</v>
      </c>
      <c r="E230" s="62"/>
      <c r="F230" s="62">
        <v>1</v>
      </c>
      <c r="G230" s="80">
        <f t="shared" si="7"/>
        <v>239.5</v>
      </c>
      <c r="H230" s="62"/>
      <c r="I230" s="57"/>
    </row>
    <row r="231" spans="1:9" ht="16.5" x14ac:dyDescent="0.25">
      <c r="A231" s="68">
        <v>46150</v>
      </c>
      <c r="B231" s="59"/>
      <c r="C231" s="59"/>
      <c r="D231" s="59" t="s">
        <v>403</v>
      </c>
      <c r="E231" s="62"/>
      <c r="F231" s="62">
        <v>7</v>
      </c>
      <c r="G231" s="80">
        <f t="shared" si="7"/>
        <v>232.5</v>
      </c>
      <c r="H231" s="62"/>
      <c r="I231" s="57"/>
    </row>
    <row r="232" spans="1:9" ht="16.5" x14ac:dyDescent="0.25">
      <c r="A232" s="68">
        <v>46151</v>
      </c>
      <c r="B232" s="59"/>
      <c r="C232" s="59"/>
      <c r="D232" s="59" t="s">
        <v>320</v>
      </c>
      <c r="E232" s="62"/>
      <c r="F232" s="62">
        <v>6</v>
      </c>
      <c r="G232" s="80">
        <f t="shared" ref="G232:G238" si="8">G231+E232-F232</f>
        <v>226.5</v>
      </c>
      <c r="H232" s="62"/>
      <c r="I232" s="57"/>
    </row>
    <row r="233" spans="1:9" ht="16.5" x14ac:dyDescent="0.25">
      <c r="A233" s="68">
        <v>46151</v>
      </c>
      <c r="B233" s="59"/>
      <c r="C233" s="59"/>
      <c r="D233" s="59" t="s">
        <v>149</v>
      </c>
      <c r="E233" s="62"/>
      <c r="F233" s="62">
        <v>5</v>
      </c>
      <c r="G233" s="80">
        <f t="shared" si="8"/>
        <v>221.5</v>
      </c>
      <c r="H233" s="62"/>
      <c r="I233" s="57"/>
    </row>
    <row r="234" spans="1:9" ht="16.5" x14ac:dyDescent="0.25">
      <c r="A234" s="68">
        <v>46151</v>
      </c>
      <c r="B234" s="59"/>
      <c r="C234" s="59"/>
      <c r="D234" s="59" t="s">
        <v>299</v>
      </c>
      <c r="E234" s="62"/>
      <c r="F234" s="62">
        <v>3</v>
      </c>
      <c r="G234" s="80">
        <f t="shared" si="8"/>
        <v>218.5</v>
      </c>
      <c r="H234" s="62"/>
      <c r="I234" s="57"/>
    </row>
    <row r="235" spans="1:9" ht="16.5" x14ac:dyDescent="0.25">
      <c r="A235" s="68">
        <v>46153</v>
      </c>
      <c r="B235" s="59"/>
      <c r="C235" s="59"/>
      <c r="D235" s="59" t="s">
        <v>428</v>
      </c>
      <c r="E235" s="62"/>
      <c r="F235" s="62">
        <v>30</v>
      </c>
      <c r="G235" s="80">
        <f t="shared" si="8"/>
        <v>188.5</v>
      </c>
      <c r="H235" s="62"/>
      <c r="I235" s="57"/>
    </row>
    <row r="236" spans="1:9" ht="16.5" x14ac:dyDescent="0.25">
      <c r="A236" s="68">
        <v>46153</v>
      </c>
      <c r="B236" s="59"/>
      <c r="C236" s="59"/>
      <c r="D236" s="59" t="s">
        <v>429</v>
      </c>
      <c r="E236" s="62"/>
      <c r="F236" s="62">
        <v>10</v>
      </c>
      <c r="G236" s="80">
        <f t="shared" si="8"/>
        <v>178.5</v>
      </c>
      <c r="H236" s="62" t="s">
        <v>66</v>
      </c>
      <c r="I236" s="57"/>
    </row>
    <row r="237" spans="1:9" ht="16.5" x14ac:dyDescent="0.25">
      <c r="A237" s="68">
        <v>46154</v>
      </c>
      <c r="B237" s="59"/>
      <c r="C237" s="59"/>
      <c r="D237" s="59" t="s">
        <v>287</v>
      </c>
      <c r="E237" s="62"/>
      <c r="F237" s="62">
        <v>2</v>
      </c>
      <c r="G237" s="80">
        <f t="shared" si="8"/>
        <v>176.5</v>
      </c>
      <c r="H237" s="62"/>
      <c r="I237" s="57"/>
    </row>
    <row r="238" spans="1:9" ht="16.5" x14ac:dyDescent="0.25">
      <c r="A238" s="68">
        <v>46154</v>
      </c>
      <c r="B238" s="59"/>
      <c r="C238" s="59"/>
      <c r="D238" s="59" t="s">
        <v>193</v>
      </c>
      <c r="E238" s="62"/>
      <c r="F238" s="62">
        <v>6</v>
      </c>
      <c r="G238" s="80">
        <f t="shared" si="8"/>
        <v>170.5</v>
      </c>
      <c r="H238" s="62"/>
      <c r="I238" s="57"/>
    </row>
    <row r="239" spans="1:9" ht="16.5" x14ac:dyDescent="0.25">
      <c r="A239" s="68">
        <v>46155</v>
      </c>
      <c r="B239" s="59">
        <v>2853</v>
      </c>
      <c r="C239" s="59">
        <v>64243</v>
      </c>
      <c r="D239" s="59" t="s">
        <v>149</v>
      </c>
      <c r="E239" s="62"/>
      <c r="F239" s="62">
        <v>20</v>
      </c>
      <c r="G239" s="80">
        <f t="shared" ref="G239:G259" si="9">G238+E239-F239</f>
        <v>150.5</v>
      </c>
      <c r="H239" s="62"/>
      <c r="I239" s="57"/>
    </row>
    <row r="240" spans="1:9" ht="16.5" x14ac:dyDescent="0.25">
      <c r="A240" s="68">
        <v>46156</v>
      </c>
      <c r="B240" s="59"/>
      <c r="C240" s="59"/>
      <c r="D240" s="59" t="s">
        <v>403</v>
      </c>
      <c r="E240" s="62"/>
      <c r="F240" s="62">
        <v>0.5</v>
      </c>
      <c r="G240" s="80">
        <f t="shared" si="9"/>
        <v>150</v>
      </c>
      <c r="H240" s="62"/>
      <c r="I240" s="57"/>
    </row>
    <row r="241" spans="1:9" ht="16.5" x14ac:dyDescent="0.25">
      <c r="A241" s="68">
        <v>46156</v>
      </c>
      <c r="B241" s="59"/>
      <c r="C241" s="59"/>
      <c r="D241" s="59" t="s">
        <v>265</v>
      </c>
      <c r="E241" s="62"/>
      <c r="F241" s="62">
        <v>1</v>
      </c>
      <c r="G241" s="80">
        <f t="shared" si="9"/>
        <v>149</v>
      </c>
      <c r="H241" s="62"/>
      <c r="I241" s="57"/>
    </row>
    <row r="242" spans="1:9" ht="16.5" x14ac:dyDescent="0.25">
      <c r="A242" s="68">
        <v>46157</v>
      </c>
      <c r="B242" s="59"/>
      <c r="C242" s="59"/>
      <c r="D242" s="59" t="s">
        <v>63</v>
      </c>
      <c r="E242" s="62"/>
      <c r="F242" s="62">
        <v>12</v>
      </c>
      <c r="G242" s="80">
        <f t="shared" si="9"/>
        <v>137</v>
      </c>
      <c r="H242" s="62"/>
      <c r="I242" s="57"/>
    </row>
    <row r="243" spans="1:9" ht="16.5" x14ac:dyDescent="0.25">
      <c r="A243" s="68">
        <v>46157</v>
      </c>
      <c r="B243" s="59"/>
      <c r="C243" s="59"/>
      <c r="D243" s="59" t="s">
        <v>75</v>
      </c>
      <c r="E243" s="62"/>
      <c r="F243" s="62">
        <v>2</v>
      </c>
      <c r="G243" s="80">
        <f t="shared" si="9"/>
        <v>135</v>
      </c>
      <c r="H243" s="62"/>
      <c r="I243" s="57"/>
    </row>
    <row r="244" spans="1:9" ht="16.5" x14ac:dyDescent="0.25">
      <c r="A244" s="68">
        <v>46158</v>
      </c>
      <c r="B244" s="59"/>
      <c r="C244" s="59"/>
      <c r="D244" s="59" t="s">
        <v>490</v>
      </c>
      <c r="E244" s="62"/>
      <c r="F244" s="62">
        <v>5</v>
      </c>
      <c r="G244" s="80">
        <f t="shared" si="9"/>
        <v>130</v>
      </c>
      <c r="H244" s="62"/>
      <c r="I244" s="57"/>
    </row>
    <row r="245" spans="1:9" ht="16.5" x14ac:dyDescent="0.25">
      <c r="A245" s="68">
        <v>46158</v>
      </c>
      <c r="B245" s="59"/>
      <c r="C245" s="59"/>
      <c r="D245" s="59" t="s">
        <v>492</v>
      </c>
      <c r="E245" s="62"/>
      <c r="F245" s="62">
        <v>16</v>
      </c>
      <c r="G245" s="80">
        <f t="shared" si="9"/>
        <v>114</v>
      </c>
      <c r="H245" s="62"/>
      <c r="I245" s="57"/>
    </row>
    <row r="246" spans="1:9" ht="16.5" x14ac:dyDescent="0.25">
      <c r="A246" s="68">
        <v>46158</v>
      </c>
      <c r="B246" s="59"/>
      <c r="C246" s="59"/>
      <c r="D246" s="59" t="s">
        <v>491</v>
      </c>
      <c r="E246" s="62"/>
      <c r="F246" s="62">
        <v>10</v>
      </c>
      <c r="G246" s="80">
        <f t="shared" si="9"/>
        <v>104</v>
      </c>
      <c r="H246" s="62"/>
      <c r="I246" s="57"/>
    </row>
    <row r="247" spans="1:9" ht="16.5" x14ac:dyDescent="0.25">
      <c r="A247" s="68">
        <v>46158</v>
      </c>
      <c r="B247" s="59"/>
      <c r="C247" s="59"/>
      <c r="D247" s="59" t="s">
        <v>493</v>
      </c>
      <c r="E247" s="62"/>
      <c r="F247" s="62">
        <v>1</v>
      </c>
      <c r="G247" s="80">
        <f t="shared" si="9"/>
        <v>103</v>
      </c>
      <c r="H247" s="62"/>
      <c r="I247" s="57"/>
    </row>
    <row r="248" spans="1:9" ht="16.5" x14ac:dyDescent="0.25">
      <c r="A248" s="68">
        <v>46161</v>
      </c>
      <c r="B248" s="59"/>
      <c r="C248" s="59"/>
      <c r="D248" s="59" t="s">
        <v>31</v>
      </c>
      <c r="E248" s="62"/>
      <c r="F248" s="62">
        <v>4</v>
      </c>
      <c r="G248" s="80">
        <f t="shared" si="9"/>
        <v>99</v>
      </c>
      <c r="H248" s="62"/>
      <c r="I248" s="57"/>
    </row>
    <row r="249" spans="1:9" ht="16.5" x14ac:dyDescent="0.25">
      <c r="A249" s="68">
        <v>46164</v>
      </c>
      <c r="B249" s="59"/>
      <c r="C249" s="59"/>
      <c r="D249" s="59" t="s">
        <v>287</v>
      </c>
      <c r="E249" s="62"/>
      <c r="F249" s="62">
        <v>1</v>
      </c>
      <c r="G249" s="80">
        <f t="shared" si="9"/>
        <v>98</v>
      </c>
      <c r="H249" s="62"/>
      <c r="I249" s="57"/>
    </row>
    <row r="250" spans="1:9" ht="16.5" x14ac:dyDescent="0.25">
      <c r="A250" s="68">
        <v>46165</v>
      </c>
      <c r="B250" s="59"/>
      <c r="C250" s="59"/>
      <c r="D250" s="77" t="s">
        <v>345</v>
      </c>
      <c r="E250" s="62"/>
      <c r="F250" s="62">
        <v>0.5</v>
      </c>
      <c r="G250" s="80">
        <f t="shared" si="9"/>
        <v>97.5</v>
      </c>
      <c r="H250" s="62"/>
      <c r="I250" s="57"/>
    </row>
    <row r="251" spans="1:9" ht="16.5" x14ac:dyDescent="0.25">
      <c r="A251" s="68">
        <v>46166</v>
      </c>
      <c r="B251" s="59"/>
      <c r="C251" s="59"/>
      <c r="D251" s="77" t="s">
        <v>512</v>
      </c>
      <c r="E251" s="62"/>
      <c r="F251" s="62">
        <v>19</v>
      </c>
      <c r="G251" s="80">
        <f t="shared" si="9"/>
        <v>78.5</v>
      </c>
      <c r="H251" s="62"/>
      <c r="I251" s="57"/>
    </row>
    <row r="252" spans="1:9" ht="16.5" x14ac:dyDescent="0.25">
      <c r="A252" s="68">
        <v>46169</v>
      </c>
      <c r="B252" s="59"/>
      <c r="C252" s="59"/>
      <c r="D252" s="77" t="s">
        <v>514</v>
      </c>
      <c r="E252" s="62"/>
      <c r="F252" s="62">
        <v>0.25</v>
      </c>
      <c r="G252" s="80">
        <f t="shared" si="9"/>
        <v>78.25</v>
      </c>
      <c r="H252" s="62"/>
      <c r="I252" s="57"/>
    </row>
    <row r="253" spans="1:9" ht="16.5" x14ac:dyDescent="0.25">
      <c r="A253" s="68">
        <v>46171</v>
      </c>
      <c r="B253" s="59"/>
      <c r="C253" s="59"/>
      <c r="D253" s="77" t="s">
        <v>241</v>
      </c>
      <c r="E253" s="62"/>
      <c r="F253" s="62">
        <v>6</v>
      </c>
      <c r="G253" s="80">
        <f t="shared" si="9"/>
        <v>72.25</v>
      </c>
      <c r="H253" s="62"/>
      <c r="I253" s="57"/>
    </row>
    <row r="254" spans="1:9" ht="16.5" x14ac:dyDescent="0.25">
      <c r="A254" s="68">
        <v>46175</v>
      </c>
      <c r="B254" s="59">
        <v>167420</v>
      </c>
      <c r="C254" s="59"/>
      <c r="D254" s="59"/>
      <c r="E254" s="62">
        <v>200</v>
      </c>
      <c r="F254" s="62"/>
      <c r="G254" s="80">
        <f t="shared" si="9"/>
        <v>272.25</v>
      </c>
      <c r="H254" s="62"/>
      <c r="I254" s="57"/>
    </row>
    <row r="255" spans="1:9" ht="16.5" x14ac:dyDescent="0.25">
      <c r="A255" s="68">
        <v>46176</v>
      </c>
      <c r="B255" s="59"/>
      <c r="C255" s="59"/>
      <c r="D255" s="59" t="s">
        <v>78</v>
      </c>
      <c r="E255" s="62"/>
      <c r="F255" s="62">
        <v>7</v>
      </c>
      <c r="G255" s="80">
        <f t="shared" si="9"/>
        <v>265.25</v>
      </c>
      <c r="H255" s="62"/>
      <c r="I255" s="57"/>
    </row>
    <row r="256" spans="1:9" ht="16.5" x14ac:dyDescent="0.25">
      <c r="A256" s="68">
        <v>46176</v>
      </c>
      <c r="B256" s="59"/>
      <c r="C256" s="59"/>
      <c r="D256" s="59" t="s">
        <v>41</v>
      </c>
      <c r="E256" s="62"/>
      <c r="F256" s="62">
        <v>2</v>
      </c>
      <c r="G256" s="80">
        <f t="shared" si="9"/>
        <v>263.25</v>
      </c>
      <c r="H256" s="62"/>
      <c r="I256" s="57"/>
    </row>
    <row r="257" spans="1:9" ht="16.5" x14ac:dyDescent="0.25">
      <c r="A257" s="68">
        <v>46177</v>
      </c>
      <c r="B257" s="59"/>
      <c r="C257" s="59">
        <v>64480</v>
      </c>
      <c r="D257" s="59" t="s">
        <v>23</v>
      </c>
      <c r="E257" s="62"/>
      <c r="F257" s="62">
        <v>40</v>
      </c>
      <c r="G257" s="80">
        <f t="shared" si="9"/>
        <v>223.25</v>
      </c>
      <c r="H257" s="62"/>
      <c r="I257" s="57"/>
    </row>
    <row r="258" spans="1:9" ht="16.5" x14ac:dyDescent="0.25">
      <c r="A258" s="68">
        <v>46178</v>
      </c>
      <c r="B258" s="59"/>
      <c r="C258" s="59"/>
      <c r="D258" s="59" t="s">
        <v>144</v>
      </c>
      <c r="E258" s="62"/>
      <c r="F258" s="62">
        <v>1</v>
      </c>
      <c r="G258" s="80">
        <f t="shared" si="9"/>
        <v>222.25</v>
      </c>
      <c r="H258" s="62"/>
      <c r="I258" s="57"/>
    </row>
    <row r="259" spans="1:9" ht="16.5" x14ac:dyDescent="0.25">
      <c r="A259" s="68">
        <v>46178</v>
      </c>
      <c r="B259" s="59"/>
      <c r="C259" s="59"/>
      <c r="D259" s="59" t="s">
        <v>62</v>
      </c>
      <c r="E259" s="62"/>
      <c r="F259" s="62">
        <v>1</v>
      </c>
      <c r="G259" s="80">
        <f t="shared" si="9"/>
        <v>221.25</v>
      </c>
      <c r="H259" s="62"/>
      <c r="I259" s="57"/>
    </row>
    <row r="260" spans="1:9" ht="16.5" x14ac:dyDescent="0.25">
      <c r="A260" s="68">
        <v>46179</v>
      </c>
      <c r="B260" s="59"/>
      <c r="C260" s="59"/>
      <c r="D260" s="59" t="s">
        <v>143</v>
      </c>
      <c r="E260" s="62"/>
      <c r="F260" s="62">
        <v>16</v>
      </c>
      <c r="G260" s="80">
        <f t="shared" ref="G260:G267" si="10">G259+E260-F260</f>
        <v>205.25</v>
      </c>
      <c r="H260" s="62"/>
      <c r="I260" s="57"/>
    </row>
    <row r="261" spans="1:9" ht="16.5" x14ac:dyDescent="0.25">
      <c r="A261" s="68"/>
      <c r="B261" s="59"/>
      <c r="C261" s="59"/>
      <c r="D261" s="59"/>
      <c r="E261" s="62"/>
      <c r="F261" s="62"/>
      <c r="G261" s="80">
        <f t="shared" si="10"/>
        <v>205.25</v>
      </c>
      <c r="H261" s="62"/>
      <c r="I261" s="57"/>
    </row>
    <row r="262" spans="1:9" ht="16.5" x14ac:dyDescent="0.25">
      <c r="A262" s="68"/>
      <c r="B262" s="59"/>
      <c r="C262" s="59"/>
      <c r="D262" s="59"/>
      <c r="E262" s="62"/>
      <c r="F262" s="62"/>
      <c r="G262" s="80">
        <f t="shared" si="10"/>
        <v>205.25</v>
      </c>
      <c r="H262" s="62"/>
      <c r="I262" s="57"/>
    </row>
    <row r="263" spans="1:9" ht="16.5" x14ac:dyDescent="0.25">
      <c r="A263" s="68"/>
      <c r="B263" s="59"/>
      <c r="C263" s="59"/>
      <c r="D263" s="59"/>
      <c r="E263" s="62"/>
      <c r="F263" s="62"/>
      <c r="G263" s="80">
        <f t="shared" si="10"/>
        <v>205.25</v>
      </c>
      <c r="H263" s="62"/>
      <c r="I263" s="57"/>
    </row>
    <row r="264" spans="1:9" ht="16.5" x14ac:dyDescent="0.25">
      <c r="A264" s="68"/>
      <c r="B264" s="59"/>
      <c r="C264" s="59"/>
      <c r="D264" s="59"/>
      <c r="E264" s="62"/>
      <c r="F264" s="62"/>
      <c r="G264" s="80">
        <f t="shared" si="10"/>
        <v>205.25</v>
      </c>
      <c r="H264" s="62"/>
      <c r="I264" s="57"/>
    </row>
    <row r="265" spans="1:9" ht="16.5" x14ac:dyDescent="0.25">
      <c r="A265" s="68"/>
      <c r="B265" s="59"/>
      <c r="C265" s="59"/>
      <c r="D265" s="59"/>
      <c r="E265" s="62"/>
      <c r="F265" s="62"/>
      <c r="G265" s="80">
        <f t="shared" si="10"/>
        <v>205.25</v>
      </c>
      <c r="H265" s="62"/>
      <c r="I265" s="57"/>
    </row>
    <row r="266" spans="1:9" ht="16.5" x14ac:dyDescent="0.25">
      <c r="A266" s="68"/>
      <c r="B266" s="59"/>
      <c r="C266" s="59"/>
      <c r="D266" s="59"/>
      <c r="E266" s="62"/>
      <c r="F266" s="62"/>
      <c r="G266" s="80">
        <f t="shared" si="10"/>
        <v>205.25</v>
      </c>
      <c r="H266" s="62"/>
      <c r="I266" s="57"/>
    </row>
    <row r="267" spans="1:9" ht="16.5" x14ac:dyDescent="0.25">
      <c r="A267" s="68"/>
      <c r="B267" s="59"/>
      <c r="C267" s="59"/>
      <c r="D267" s="59"/>
      <c r="E267" s="62"/>
      <c r="F267" s="62"/>
      <c r="G267" s="80">
        <f t="shared" si="10"/>
        <v>205.25</v>
      </c>
      <c r="H267" s="62"/>
      <c r="I267" s="57"/>
    </row>
    <row r="268" spans="1:9" ht="16.5" x14ac:dyDescent="0.25">
      <c r="A268" s="68"/>
      <c r="B268" s="59"/>
      <c r="C268" s="59"/>
      <c r="D268" s="59"/>
      <c r="E268" s="62"/>
      <c r="F268" s="62"/>
      <c r="G268" s="80">
        <f t="shared" ref="G268:G277" si="11">G267+E268-F268</f>
        <v>205.25</v>
      </c>
      <c r="H268" s="62"/>
      <c r="I268" s="57"/>
    </row>
    <row r="269" spans="1:9" ht="16.5" x14ac:dyDescent="0.25">
      <c r="A269" s="68"/>
      <c r="B269" s="59"/>
      <c r="C269" s="59"/>
      <c r="D269" s="59"/>
      <c r="E269" s="62"/>
      <c r="F269" s="62"/>
      <c r="G269" s="80">
        <f t="shared" si="11"/>
        <v>205.25</v>
      </c>
      <c r="H269" s="62"/>
      <c r="I269" s="57"/>
    </row>
    <row r="270" spans="1:9" ht="16.5" x14ac:dyDescent="0.25">
      <c r="A270" s="68"/>
      <c r="B270" s="59"/>
      <c r="C270" s="59"/>
      <c r="D270" s="59"/>
      <c r="E270" s="62"/>
      <c r="F270" s="62"/>
      <c r="G270" s="80">
        <f t="shared" si="11"/>
        <v>205.25</v>
      </c>
      <c r="H270" s="62"/>
      <c r="I270" s="57"/>
    </row>
    <row r="271" spans="1:9" ht="16.5" x14ac:dyDescent="0.25">
      <c r="A271" s="68"/>
      <c r="B271" s="59"/>
      <c r="C271" s="59"/>
      <c r="D271" s="59"/>
      <c r="E271" s="62"/>
      <c r="F271" s="62"/>
      <c r="G271" s="80">
        <f t="shared" si="11"/>
        <v>205.25</v>
      </c>
      <c r="H271" s="62"/>
      <c r="I271" s="57"/>
    </row>
    <row r="272" spans="1:9" ht="16.5" x14ac:dyDescent="0.25">
      <c r="A272" s="68"/>
      <c r="B272" s="59"/>
      <c r="C272" s="59"/>
      <c r="D272" s="59"/>
      <c r="E272" s="62"/>
      <c r="F272" s="62"/>
      <c r="G272" s="80">
        <f t="shared" si="11"/>
        <v>205.25</v>
      </c>
      <c r="H272" s="62"/>
      <c r="I272" s="57"/>
    </row>
    <row r="273" spans="1:9" ht="16.5" x14ac:dyDescent="0.25">
      <c r="A273" s="68"/>
      <c r="B273" s="59"/>
      <c r="C273" s="59"/>
      <c r="D273" s="59"/>
      <c r="E273" s="62"/>
      <c r="F273" s="62"/>
      <c r="G273" s="80">
        <f t="shared" si="11"/>
        <v>205.25</v>
      </c>
      <c r="H273" s="62"/>
      <c r="I273" s="57"/>
    </row>
    <row r="274" spans="1:9" ht="16.5" x14ac:dyDescent="0.25">
      <c r="A274" s="68"/>
      <c r="B274" s="59"/>
      <c r="C274" s="59"/>
      <c r="D274" s="59"/>
      <c r="E274" s="62"/>
      <c r="F274" s="62"/>
      <c r="G274" s="80">
        <f t="shared" si="11"/>
        <v>205.25</v>
      </c>
      <c r="H274" s="62"/>
      <c r="I274" s="57"/>
    </row>
    <row r="275" spans="1:9" ht="16.5" x14ac:dyDescent="0.25">
      <c r="A275" s="68"/>
      <c r="B275" s="59"/>
      <c r="C275" s="59"/>
      <c r="D275" s="59"/>
      <c r="E275" s="62"/>
      <c r="F275" s="62"/>
      <c r="G275" s="80">
        <f t="shared" si="11"/>
        <v>205.25</v>
      </c>
      <c r="H275" s="62"/>
      <c r="I275" s="57"/>
    </row>
    <row r="276" spans="1:9" ht="16.5" x14ac:dyDescent="0.25">
      <c r="A276" s="68"/>
      <c r="B276" s="59"/>
      <c r="C276" s="59"/>
      <c r="D276" s="59"/>
      <c r="E276" s="62"/>
      <c r="F276" s="62"/>
      <c r="G276" s="80">
        <f t="shared" si="11"/>
        <v>205.25</v>
      </c>
      <c r="H276" s="62"/>
      <c r="I276" s="57"/>
    </row>
    <row r="277" spans="1:9" ht="16.5" x14ac:dyDescent="0.25">
      <c r="A277" s="68"/>
      <c r="B277" s="59"/>
      <c r="C277" s="59"/>
      <c r="D277" s="59"/>
      <c r="E277" s="62"/>
      <c r="F277" s="62"/>
      <c r="G277" s="80">
        <f t="shared" si="11"/>
        <v>205.25</v>
      </c>
      <c r="H277" s="62"/>
      <c r="I277" s="57"/>
    </row>
  </sheetData>
  <autoFilter ref="A6:H254"/>
  <pageMargins left="0.54" right="0.2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zoomScale="98" zoomScaleNormal="98" workbookViewId="0">
      <pane ySplit="2355" topLeftCell="A58" activePane="bottomLeft"/>
      <selection sqref="A1:H1048576"/>
      <selection pane="bottomLeft" activeCell="J52" sqref="J52"/>
    </sheetView>
  </sheetViews>
  <sheetFormatPr defaultRowHeight="17.25" x14ac:dyDescent="0.25"/>
  <cols>
    <col min="1" max="1" width="12.85546875" style="49" bestFit="1" customWidth="1"/>
    <col min="2" max="3" width="9.28515625" style="49" bestFit="1" customWidth="1"/>
    <col min="4" max="4" width="25.5703125" style="49" customWidth="1"/>
    <col min="5" max="5" width="10.28515625" style="50" bestFit="1" customWidth="1"/>
    <col min="6" max="6" width="9.28515625" style="50" bestFit="1" customWidth="1"/>
    <col min="7" max="7" width="10.28515625" style="50" bestFit="1" customWidth="1"/>
    <col min="8" max="8" width="9.140625" style="49"/>
    <col min="9" max="16384" width="9.140625" style="31"/>
  </cols>
  <sheetData>
    <row r="1" spans="1:8" x14ac:dyDescent="0.25">
      <c r="A1" s="49" t="s">
        <v>0</v>
      </c>
    </row>
    <row r="2" spans="1:8" x14ac:dyDescent="0.25">
      <c r="A2" s="49" t="s">
        <v>1</v>
      </c>
    </row>
    <row r="3" spans="1:8" x14ac:dyDescent="0.25">
      <c r="A3" s="49" t="s">
        <v>2</v>
      </c>
    </row>
    <row r="4" spans="1:8" x14ac:dyDescent="0.25">
      <c r="A4" s="49" t="s">
        <v>54</v>
      </c>
    </row>
    <row r="6" spans="1:8" x14ac:dyDescent="0.25">
      <c r="A6" s="51" t="s">
        <v>4</v>
      </c>
      <c r="B6" s="51" t="s">
        <v>6</v>
      </c>
      <c r="C6" s="51" t="s">
        <v>5</v>
      </c>
      <c r="D6" s="51" t="s">
        <v>7</v>
      </c>
      <c r="E6" s="52" t="s">
        <v>8</v>
      </c>
      <c r="F6" s="52" t="s">
        <v>9</v>
      </c>
      <c r="G6" s="52" t="s">
        <v>10</v>
      </c>
      <c r="H6" s="51" t="s">
        <v>11</v>
      </c>
    </row>
    <row r="7" spans="1:8" x14ac:dyDescent="0.25">
      <c r="A7" s="53">
        <v>45822</v>
      </c>
      <c r="B7" s="54"/>
      <c r="C7" s="54"/>
      <c r="D7" s="54" t="s">
        <v>12</v>
      </c>
      <c r="E7" s="55">
        <v>210</v>
      </c>
      <c r="F7" s="55"/>
      <c r="G7" s="55">
        <f>E7</f>
        <v>210</v>
      </c>
      <c r="H7" s="54" t="s">
        <v>29</v>
      </c>
    </row>
    <row r="8" spans="1:8" x14ac:dyDescent="0.25">
      <c r="A8" s="56">
        <v>45822</v>
      </c>
      <c r="B8" s="51"/>
      <c r="C8" s="51"/>
      <c r="D8" s="51" t="s">
        <v>24</v>
      </c>
      <c r="E8" s="52"/>
      <c r="F8" s="52">
        <v>15</v>
      </c>
      <c r="G8" s="52">
        <f>G7+E8-F8</f>
        <v>195</v>
      </c>
      <c r="H8" s="51"/>
    </row>
    <row r="9" spans="1:8" x14ac:dyDescent="0.25">
      <c r="A9" s="56">
        <v>45822</v>
      </c>
      <c r="B9" s="51"/>
      <c r="C9" s="51"/>
      <c r="D9" s="51" t="s">
        <v>26</v>
      </c>
      <c r="E9" s="52"/>
      <c r="F9" s="52">
        <v>1</v>
      </c>
      <c r="G9" s="52">
        <f t="shared" ref="G9:G16" si="0">G8+E9-F9</f>
        <v>194</v>
      </c>
      <c r="H9" s="51"/>
    </row>
    <row r="10" spans="1:8" x14ac:dyDescent="0.25">
      <c r="A10" s="56">
        <v>45822</v>
      </c>
      <c r="B10" s="51"/>
      <c r="C10" s="51"/>
      <c r="D10" s="51" t="s">
        <v>25</v>
      </c>
      <c r="E10" s="52"/>
      <c r="F10" s="52">
        <v>10</v>
      </c>
      <c r="G10" s="52">
        <f t="shared" si="0"/>
        <v>184</v>
      </c>
      <c r="H10" s="51"/>
    </row>
    <row r="11" spans="1:8" x14ac:dyDescent="0.25">
      <c r="A11" s="56">
        <v>45827</v>
      </c>
      <c r="B11" s="51"/>
      <c r="C11" s="51"/>
      <c r="D11" s="51" t="s">
        <v>27</v>
      </c>
      <c r="E11" s="52"/>
      <c r="F11" s="52">
        <v>4</v>
      </c>
      <c r="G11" s="52">
        <f t="shared" si="0"/>
        <v>180</v>
      </c>
      <c r="H11" s="51"/>
    </row>
    <row r="12" spans="1:8" x14ac:dyDescent="0.25">
      <c r="A12" s="56">
        <v>45828</v>
      </c>
      <c r="B12" s="51"/>
      <c r="C12" s="51"/>
      <c r="D12" s="51" t="s">
        <v>28</v>
      </c>
      <c r="E12" s="52"/>
      <c r="F12" s="52">
        <v>16</v>
      </c>
      <c r="G12" s="52">
        <f t="shared" si="0"/>
        <v>164</v>
      </c>
      <c r="H12" s="51"/>
    </row>
    <row r="13" spans="1:8" x14ac:dyDescent="0.25">
      <c r="A13" s="56">
        <v>45829</v>
      </c>
      <c r="B13" s="51"/>
      <c r="C13" s="51"/>
      <c r="D13" s="51" t="s">
        <v>91</v>
      </c>
      <c r="E13" s="52"/>
      <c r="F13" s="52">
        <v>1.5</v>
      </c>
      <c r="G13" s="52">
        <f t="shared" si="0"/>
        <v>162.5</v>
      </c>
      <c r="H13" s="51"/>
    </row>
    <row r="14" spans="1:8" x14ac:dyDescent="0.25">
      <c r="A14" s="56">
        <v>45832</v>
      </c>
      <c r="B14" s="51"/>
      <c r="C14" s="51"/>
      <c r="D14" s="51" t="s">
        <v>92</v>
      </c>
      <c r="E14" s="52"/>
      <c r="F14" s="52">
        <v>6.5</v>
      </c>
      <c r="G14" s="52">
        <f t="shared" si="0"/>
        <v>156</v>
      </c>
      <c r="H14" s="51"/>
    </row>
    <row r="15" spans="1:8" x14ac:dyDescent="0.25">
      <c r="A15" s="56">
        <v>45839</v>
      </c>
      <c r="B15" s="51"/>
      <c r="C15" s="51"/>
      <c r="D15" s="51" t="s">
        <v>93</v>
      </c>
      <c r="E15" s="52"/>
      <c r="F15" s="52">
        <v>18</v>
      </c>
      <c r="G15" s="52">
        <f t="shared" si="0"/>
        <v>138</v>
      </c>
      <c r="H15" s="51"/>
    </row>
    <row r="16" spans="1:8" x14ac:dyDescent="0.25">
      <c r="A16" s="56">
        <v>45846</v>
      </c>
      <c r="B16" s="51"/>
      <c r="C16" s="51"/>
      <c r="D16" s="51" t="s">
        <v>94</v>
      </c>
      <c r="E16" s="52"/>
      <c r="F16" s="52">
        <v>10</v>
      </c>
      <c r="G16" s="52">
        <f t="shared" si="0"/>
        <v>128</v>
      </c>
      <c r="H16" s="51"/>
    </row>
    <row r="17" spans="1:8" x14ac:dyDescent="0.25">
      <c r="A17" s="56">
        <v>45850</v>
      </c>
      <c r="B17" s="51"/>
      <c r="C17" s="51"/>
      <c r="D17" s="51" t="s">
        <v>81</v>
      </c>
      <c r="E17" s="52"/>
      <c r="F17" s="52">
        <v>1</v>
      </c>
      <c r="G17" s="52">
        <f>G16+E17-F17</f>
        <v>127</v>
      </c>
      <c r="H17" s="51"/>
    </row>
    <row r="18" spans="1:8" x14ac:dyDescent="0.25">
      <c r="A18" s="56">
        <v>45863</v>
      </c>
      <c r="B18" s="51"/>
      <c r="C18" s="51"/>
      <c r="D18" s="51" t="s">
        <v>95</v>
      </c>
      <c r="E18" s="52"/>
      <c r="F18" s="52">
        <v>1</v>
      </c>
      <c r="G18" s="52">
        <f t="shared" ref="G18:G28" si="1">G17+E18-F18</f>
        <v>126</v>
      </c>
      <c r="H18" s="51"/>
    </row>
    <row r="19" spans="1:8" x14ac:dyDescent="0.25">
      <c r="A19" s="56">
        <v>45867</v>
      </c>
      <c r="B19" s="51"/>
      <c r="C19" s="51"/>
      <c r="D19" s="51" t="s">
        <v>18</v>
      </c>
      <c r="E19" s="52"/>
      <c r="F19" s="52">
        <v>1</v>
      </c>
      <c r="G19" s="52">
        <f t="shared" si="1"/>
        <v>125</v>
      </c>
      <c r="H19" s="51"/>
    </row>
    <row r="20" spans="1:8" x14ac:dyDescent="0.25">
      <c r="A20" s="56">
        <v>45867</v>
      </c>
      <c r="B20" s="51"/>
      <c r="C20" s="51"/>
      <c r="D20" s="51" t="s">
        <v>58</v>
      </c>
      <c r="E20" s="52"/>
      <c r="F20" s="52">
        <v>1</v>
      </c>
      <c r="G20" s="52">
        <f t="shared" si="1"/>
        <v>124</v>
      </c>
      <c r="H20" s="51"/>
    </row>
    <row r="21" spans="1:8" x14ac:dyDescent="0.25">
      <c r="A21" s="56">
        <v>45868</v>
      </c>
      <c r="B21" s="51"/>
      <c r="C21" s="51"/>
      <c r="D21" s="51" t="s">
        <v>57</v>
      </c>
      <c r="E21" s="52"/>
      <c r="F21" s="52">
        <v>2</v>
      </c>
      <c r="G21" s="52">
        <f t="shared" si="1"/>
        <v>122</v>
      </c>
      <c r="H21" s="51"/>
    </row>
    <row r="22" spans="1:8" x14ac:dyDescent="0.25">
      <c r="A22" s="56">
        <v>45869</v>
      </c>
      <c r="B22" s="51"/>
      <c r="C22" s="51"/>
      <c r="D22" s="51" t="s">
        <v>96</v>
      </c>
      <c r="E22" s="52"/>
      <c r="F22" s="52">
        <v>1</v>
      </c>
      <c r="G22" s="52">
        <f t="shared" si="1"/>
        <v>121</v>
      </c>
      <c r="H22" s="51"/>
    </row>
    <row r="23" spans="1:8" x14ac:dyDescent="0.25">
      <c r="A23" s="56">
        <v>45869</v>
      </c>
      <c r="B23" s="51"/>
      <c r="C23" s="51"/>
      <c r="D23" s="51" t="s">
        <v>97</v>
      </c>
      <c r="E23" s="52"/>
      <c r="F23" s="52">
        <v>1</v>
      </c>
      <c r="G23" s="52">
        <f t="shared" si="1"/>
        <v>120</v>
      </c>
      <c r="H23" s="51"/>
    </row>
    <row r="24" spans="1:8" x14ac:dyDescent="0.25">
      <c r="A24" s="56">
        <v>45876</v>
      </c>
      <c r="B24" s="51"/>
      <c r="C24" s="51"/>
      <c r="D24" s="51" t="s">
        <v>18</v>
      </c>
      <c r="E24" s="52"/>
      <c r="F24" s="52">
        <v>1</v>
      </c>
      <c r="G24" s="52">
        <f t="shared" si="1"/>
        <v>119</v>
      </c>
      <c r="H24" s="51"/>
    </row>
    <row r="25" spans="1:8" x14ac:dyDescent="0.25">
      <c r="A25" s="56">
        <v>45876</v>
      </c>
      <c r="B25" s="51"/>
      <c r="C25" s="51"/>
      <c r="D25" s="51" t="s">
        <v>98</v>
      </c>
      <c r="E25" s="52"/>
      <c r="F25" s="52">
        <v>3</v>
      </c>
      <c r="G25" s="52">
        <f t="shared" si="1"/>
        <v>116</v>
      </c>
      <c r="H25" s="51"/>
    </row>
    <row r="26" spans="1:8" x14ac:dyDescent="0.25">
      <c r="A26" s="56">
        <v>45888</v>
      </c>
      <c r="B26" s="51"/>
      <c r="C26" s="51"/>
      <c r="D26" s="51" t="s">
        <v>99</v>
      </c>
      <c r="E26" s="52"/>
      <c r="F26" s="52">
        <v>3</v>
      </c>
      <c r="G26" s="52">
        <f t="shared" si="1"/>
        <v>113</v>
      </c>
      <c r="H26" s="51"/>
    </row>
    <row r="27" spans="1:8" x14ac:dyDescent="0.25">
      <c r="A27" s="56">
        <v>45900</v>
      </c>
      <c r="B27" s="51">
        <v>206113</v>
      </c>
      <c r="C27" s="51">
        <v>66449</v>
      </c>
      <c r="D27" s="51" t="s">
        <v>100</v>
      </c>
      <c r="E27" s="52"/>
      <c r="F27" s="52">
        <v>10</v>
      </c>
      <c r="G27" s="52">
        <f t="shared" si="1"/>
        <v>103</v>
      </c>
      <c r="H27" s="51"/>
    </row>
    <row r="28" spans="1:8" x14ac:dyDescent="0.25">
      <c r="A28" s="56">
        <v>45904</v>
      </c>
      <c r="B28" s="51"/>
      <c r="C28" s="51"/>
      <c r="D28" s="51" t="s">
        <v>172</v>
      </c>
      <c r="E28" s="52"/>
      <c r="F28" s="52">
        <v>1</v>
      </c>
      <c r="G28" s="52">
        <f t="shared" si="1"/>
        <v>102</v>
      </c>
      <c r="H28" s="51"/>
    </row>
    <row r="29" spans="1:8" x14ac:dyDescent="0.25">
      <c r="A29" s="56">
        <v>45910</v>
      </c>
      <c r="B29" s="51"/>
      <c r="C29" s="51"/>
      <c r="D29" s="51" t="s">
        <v>157</v>
      </c>
      <c r="E29" s="52"/>
      <c r="F29" s="52">
        <v>16</v>
      </c>
      <c r="G29" s="52">
        <f t="shared" ref="G29:G39" si="2">G28+E29-F29</f>
        <v>86</v>
      </c>
      <c r="H29" s="51"/>
    </row>
    <row r="30" spans="1:8" x14ac:dyDescent="0.25">
      <c r="A30" s="56">
        <v>45921</v>
      </c>
      <c r="B30" s="51"/>
      <c r="C30" s="51"/>
      <c r="D30" s="51" t="s">
        <v>79</v>
      </c>
      <c r="E30" s="52"/>
      <c r="F30" s="52">
        <v>2</v>
      </c>
      <c r="G30" s="52">
        <f t="shared" si="2"/>
        <v>84</v>
      </c>
      <c r="H30" s="51"/>
    </row>
    <row r="31" spans="1:8" x14ac:dyDescent="0.25">
      <c r="A31" s="56">
        <v>45936</v>
      </c>
      <c r="B31" s="51"/>
      <c r="C31" s="51"/>
      <c r="D31" s="51" t="s">
        <v>195</v>
      </c>
      <c r="E31" s="52"/>
      <c r="F31" s="52">
        <v>7</v>
      </c>
      <c r="G31" s="52">
        <f t="shared" si="2"/>
        <v>77</v>
      </c>
      <c r="H31" s="51"/>
    </row>
    <row r="32" spans="1:8" x14ac:dyDescent="0.25">
      <c r="A32" s="56">
        <v>45938</v>
      </c>
      <c r="B32" s="51"/>
      <c r="C32" s="51"/>
      <c r="D32" s="51" t="s">
        <v>41</v>
      </c>
      <c r="E32" s="52"/>
      <c r="F32" s="52">
        <v>2</v>
      </c>
      <c r="G32" s="52">
        <f t="shared" si="2"/>
        <v>75</v>
      </c>
      <c r="H32" s="51"/>
    </row>
    <row r="33" spans="1:8" x14ac:dyDescent="0.25">
      <c r="A33" s="56">
        <v>45941</v>
      </c>
      <c r="B33" s="51"/>
      <c r="C33" s="51"/>
      <c r="D33" s="51" t="s">
        <v>18</v>
      </c>
      <c r="E33" s="52"/>
      <c r="F33" s="52">
        <v>1</v>
      </c>
      <c r="G33" s="52">
        <f t="shared" si="2"/>
        <v>74</v>
      </c>
      <c r="H33" s="51"/>
    </row>
    <row r="34" spans="1:8" x14ac:dyDescent="0.25">
      <c r="A34" s="56">
        <v>45941</v>
      </c>
      <c r="B34" s="51"/>
      <c r="C34" s="51"/>
      <c r="D34" s="51" t="s">
        <v>172</v>
      </c>
      <c r="E34" s="52"/>
      <c r="F34" s="52">
        <v>1</v>
      </c>
      <c r="G34" s="52">
        <f t="shared" si="2"/>
        <v>73</v>
      </c>
      <c r="H34" s="51"/>
    </row>
    <row r="35" spans="1:8" x14ac:dyDescent="0.25">
      <c r="A35" s="56">
        <v>45952</v>
      </c>
      <c r="B35" s="51"/>
      <c r="C35" s="51"/>
      <c r="D35" s="51" t="s">
        <v>81</v>
      </c>
      <c r="E35" s="52"/>
      <c r="F35" s="52">
        <v>3</v>
      </c>
      <c r="G35" s="52">
        <f t="shared" si="2"/>
        <v>70</v>
      </c>
      <c r="H35" s="51"/>
    </row>
    <row r="36" spans="1:8" x14ac:dyDescent="0.25">
      <c r="A36" s="56">
        <v>45967</v>
      </c>
      <c r="B36" s="51"/>
      <c r="C36" s="51"/>
      <c r="D36" s="51" t="s">
        <v>86</v>
      </c>
      <c r="E36" s="52"/>
      <c r="F36" s="52">
        <v>6</v>
      </c>
      <c r="G36" s="52">
        <f t="shared" si="2"/>
        <v>64</v>
      </c>
      <c r="H36" s="51"/>
    </row>
    <row r="37" spans="1:8" x14ac:dyDescent="0.25">
      <c r="A37" s="56">
        <v>45969</v>
      </c>
      <c r="B37" s="51"/>
      <c r="C37" s="51"/>
      <c r="D37" s="51" t="s">
        <v>81</v>
      </c>
      <c r="E37" s="52"/>
      <c r="F37" s="52">
        <v>1</v>
      </c>
      <c r="G37" s="52">
        <f t="shared" si="2"/>
        <v>63</v>
      </c>
      <c r="H37" s="51"/>
    </row>
    <row r="38" spans="1:8" x14ac:dyDescent="0.25">
      <c r="A38" s="56">
        <v>45970</v>
      </c>
      <c r="B38" s="51">
        <v>142785</v>
      </c>
      <c r="C38" s="51">
        <v>64958</v>
      </c>
      <c r="D38" s="51" t="s">
        <v>221</v>
      </c>
      <c r="E38" s="52"/>
      <c r="F38" s="52">
        <v>20</v>
      </c>
      <c r="G38" s="52">
        <f t="shared" si="2"/>
        <v>43</v>
      </c>
      <c r="H38" s="51"/>
    </row>
    <row r="39" spans="1:8" x14ac:dyDescent="0.25">
      <c r="A39" s="56">
        <v>45970</v>
      </c>
      <c r="B39" s="51"/>
      <c r="C39" s="51"/>
      <c r="D39" s="51" t="s">
        <v>20</v>
      </c>
      <c r="E39" s="52"/>
      <c r="F39" s="52">
        <v>6</v>
      </c>
      <c r="G39" s="52">
        <f t="shared" si="2"/>
        <v>37</v>
      </c>
      <c r="H39" s="51"/>
    </row>
    <row r="40" spans="1:8" x14ac:dyDescent="0.25">
      <c r="A40" s="56">
        <v>45971</v>
      </c>
      <c r="B40" s="51"/>
      <c r="C40" s="51"/>
      <c r="D40" s="51" t="s">
        <v>17</v>
      </c>
      <c r="E40" s="52"/>
      <c r="F40" s="52">
        <v>17</v>
      </c>
      <c r="G40" s="52">
        <f>G39+E40-F40</f>
        <v>20</v>
      </c>
      <c r="H40" s="51"/>
    </row>
    <row r="41" spans="1:8" x14ac:dyDescent="0.25">
      <c r="A41" s="56">
        <v>45981</v>
      </c>
      <c r="B41" s="51"/>
      <c r="C41" s="51"/>
      <c r="D41" s="51" t="s">
        <v>172</v>
      </c>
      <c r="E41" s="52"/>
      <c r="F41" s="52">
        <v>1</v>
      </c>
      <c r="G41" s="52">
        <f>G40+E41-F41</f>
        <v>19</v>
      </c>
      <c r="H41" s="51"/>
    </row>
    <row r="42" spans="1:8" x14ac:dyDescent="0.25">
      <c r="A42" s="53">
        <v>46020</v>
      </c>
      <c r="B42" s="54">
        <v>141296</v>
      </c>
      <c r="C42" s="54"/>
      <c r="D42" s="54" t="s">
        <v>12</v>
      </c>
      <c r="E42" s="55">
        <v>210</v>
      </c>
      <c r="F42" s="55"/>
      <c r="G42" s="55">
        <f>G41+E42-F42</f>
        <v>229</v>
      </c>
      <c r="H42" s="54"/>
    </row>
    <row r="43" spans="1:8" x14ac:dyDescent="0.25">
      <c r="A43" s="56">
        <v>46021</v>
      </c>
      <c r="B43" s="51"/>
      <c r="C43" s="51"/>
      <c r="D43" s="51" t="s">
        <v>288</v>
      </c>
      <c r="E43" s="52"/>
      <c r="F43" s="52">
        <v>15</v>
      </c>
      <c r="G43" s="52">
        <f>G42+E43-F43</f>
        <v>214</v>
      </c>
      <c r="H43" s="51"/>
    </row>
    <row r="44" spans="1:8" x14ac:dyDescent="0.25">
      <c r="A44" s="56">
        <v>46021</v>
      </c>
      <c r="B44" s="51"/>
      <c r="C44" s="51"/>
      <c r="D44" s="51" t="s">
        <v>259</v>
      </c>
      <c r="E44" s="52"/>
      <c r="F44" s="52">
        <v>1</v>
      </c>
      <c r="G44" s="52">
        <f t="shared" ref="G44:G50" si="3">G43+E44-F44</f>
        <v>213</v>
      </c>
      <c r="H44" s="51"/>
    </row>
    <row r="45" spans="1:8" x14ac:dyDescent="0.25">
      <c r="A45" s="56">
        <v>46024</v>
      </c>
      <c r="B45" s="51"/>
      <c r="C45" s="51"/>
      <c r="D45" s="51" t="s">
        <v>294</v>
      </c>
      <c r="E45" s="52"/>
      <c r="F45" s="52">
        <v>16</v>
      </c>
      <c r="G45" s="52">
        <f t="shared" si="3"/>
        <v>197</v>
      </c>
      <c r="H45" s="51"/>
    </row>
    <row r="46" spans="1:8" x14ac:dyDescent="0.25">
      <c r="A46" s="56">
        <v>46032</v>
      </c>
      <c r="B46" s="51"/>
      <c r="C46" s="51"/>
      <c r="D46" s="51" t="s">
        <v>61</v>
      </c>
      <c r="E46" s="52"/>
      <c r="F46" s="52">
        <v>26</v>
      </c>
      <c r="G46" s="52">
        <f t="shared" si="3"/>
        <v>171</v>
      </c>
      <c r="H46" s="51"/>
    </row>
    <row r="47" spans="1:8" x14ac:dyDescent="0.25">
      <c r="A47" s="56">
        <v>46032</v>
      </c>
      <c r="B47" s="51"/>
      <c r="C47" s="51"/>
      <c r="D47" s="51" t="s">
        <v>298</v>
      </c>
      <c r="E47" s="52"/>
      <c r="F47" s="52">
        <v>13</v>
      </c>
      <c r="G47" s="52">
        <f t="shared" si="3"/>
        <v>158</v>
      </c>
      <c r="H47" s="51"/>
    </row>
    <row r="48" spans="1:8" x14ac:dyDescent="0.25">
      <c r="A48" s="56">
        <v>46032</v>
      </c>
      <c r="B48" s="51"/>
      <c r="C48" s="51"/>
      <c r="D48" s="51" t="s">
        <v>299</v>
      </c>
      <c r="E48" s="52"/>
      <c r="F48" s="52">
        <v>3</v>
      </c>
      <c r="G48" s="52">
        <f t="shared" si="3"/>
        <v>155</v>
      </c>
      <c r="H48" s="51"/>
    </row>
    <row r="49" spans="1:8" x14ac:dyDescent="0.25">
      <c r="A49" s="56">
        <v>46034</v>
      </c>
      <c r="B49" s="51"/>
      <c r="C49" s="51"/>
      <c r="D49" s="51" t="s">
        <v>306</v>
      </c>
      <c r="E49" s="52"/>
      <c r="F49" s="52">
        <v>1</v>
      </c>
      <c r="G49" s="52">
        <f t="shared" si="3"/>
        <v>154</v>
      </c>
      <c r="H49" s="51"/>
    </row>
    <row r="50" spans="1:8" x14ac:dyDescent="0.25">
      <c r="A50" s="56">
        <v>46035</v>
      </c>
      <c r="B50" s="51"/>
      <c r="C50" s="51"/>
      <c r="D50" s="51" t="s">
        <v>307</v>
      </c>
      <c r="E50" s="52"/>
      <c r="F50" s="52">
        <v>10</v>
      </c>
      <c r="G50" s="52">
        <f t="shared" si="3"/>
        <v>144</v>
      </c>
      <c r="H50" s="51"/>
    </row>
    <row r="51" spans="1:8" x14ac:dyDescent="0.25">
      <c r="A51" s="56">
        <v>46036</v>
      </c>
      <c r="B51" s="51"/>
      <c r="C51" s="51"/>
      <c r="D51" s="51" t="s">
        <v>195</v>
      </c>
      <c r="E51" s="52"/>
      <c r="F51" s="52">
        <v>1</v>
      </c>
      <c r="G51" s="52">
        <f t="shared" ref="G51:G58" si="4">G50+E51-F51</f>
        <v>143</v>
      </c>
      <c r="H51" s="51"/>
    </row>
    <row r="52" spans="1:8" x14ac:dyDescent="0.25">
      <c r="A52" s="56">
        <v>46036</v>
      </c>
      <c r="B52" s="51"/>
      <c r="C52" s="51"/>
      <c r="D52" s="51" t="s">
        <v>310</v>
      </c>
      <c r="E52" s="52"/>
      <c r="F52" s="52">
        <v>16</v>
      </c>
      <c r="G52" s="52">
        <f t="shared" si="4"/>
        <v>127</v>
      </c>
      <c r="H52" s="51"/>
    </row>
    <row r="53" spans="1:8" x14ac:dyDescent="0.25">
      <c r="A53" s="56">
        <v>46048</v>
      </c>
      <c r="B53" s="51"/>
      <c r="C53" s="51"/>
      <c r="D53" s="51" t="s">
        <v>36</v>
      </c>
      <c r="E53" s="52"/>
      <c r="F53" s="52">
        <v>2.5</v>
      </c>
      <c r="G53" s="52">
        <f t="shared" si="4"/>
        <v>124.5</v>
      </c>
      <c r="H53" s="51"/>
    </row>
    <row r="54" spans="1:8" x14ac:dyDescent="0.25">
      <c r="A54" s="56">
        <v>46072</v>
      </c>
      <c r="B54" s="51">
        <v>110808</v>
      </c>
      <c r="C54" s="51">
        <v>58085</v>
      </c>
      <c r="D54" s="51" t="s">
        <v>178</v>
      </c>
      <c r="E54" s="52"/>
      <c r="F54" s="52">
        <v>10</v>
      </c>
      <c r="G54" s="52">
        <f t="shared" si="4"/>
        <v>114.5</v>
      </c>
      <c r="H54" s="51"/>
    </row>
    <row r="55" spans="1:8" x14ac:dyDescent="0.25">
      <c r="A55" s="56">
        <v>46072</v>
      </c>
      <c r="B55" s="51"/>
      <c r="C55" s="51"/>
      <c r="D55" s="51" t="s">
        <v>355</v>
      </c>
      <c r="E55" s="52"/>
      <c r="F55" s="52">
        <v>6</v>
      </c>
      <c r="G55" s="52">
        <f t="shared" si="4"/>
        <v>108.5</v>
      </c>
      <c r="H55" s="51"/>
    </row>
    <row r="56" spans="1:8" x14ac:dyDescent="0.25">
      <c r="A56" s="56">
        <v>46073</v>
      </c>
      <c r="B56" s="51"/>
      <c r="C56" s="51"/>
      <c r="D56" s="51" t="s">
        <v>319</v>
      </c>
      <c r="E56" s="52"/>
      <c r="F56" s="52">
        <v>10</v>
      </c>
      <c r="G56" s="52">
        <f t="shared" si="4"/>
        <v>98.5</v>
      </c>
      <c r="H56" s="51"/>
    </row>
    <row r="57" spans="1:8" x14ac:dyDescent="0.25">
      <c r="A57" s="56">
        <v>46073</v>
      </c>
      <c r="B57" s="51"/>
      <c r="C57" s="51"/>
      <c r="D57" s="51" t="s">
        <v>73</v>
      </c>
      <c r="E57" s="52"/>
      <c r="F57" s="52">
        <v>1</v>
      </c>
      <c r="G57" s="52">
        <f t="shared" si="4"/>
        <v>97.5</v>
      </c>
      <c r="H57" s="51"/>
    </row>
    <row r="58" spans="1:8" x14ac:dyDescent="0.25">
      <c r="A58" s="56">
        <v>46083</v>
      </c>
      <c r="B58" s="51"/>
      <c r="C58" s="51"/>
      <c r="D58" s="51" t="s">
        <v>172</v>
      </c>
      <c r="E58" s="52"/>
      <c r="F58" s="52">
        <v>1</v>
      </c>
      <c r="G58" s="52">
        <f t="shared" si="4"/>
        <v>96.5</v>
      </c>
      <c r="H58" s="51"/>
    </row>
    <row r="59" spans="1:8" x14ac:dyDescent="0.25">
      <c r="A59" s="56">
        <v>46096</v>
      </c>
      <c r="B59" s="51"/>
      <c r="C59" s="51"/>
      <c r="D59" s="51" t="s">
        <v>301</v>
      </c>
      <c r="E59" s="52"/>
      <c r="F59" s="52">
        <v>1.5</v>
      </c>
      <c r="G59" s="52">
        <f>G58+E59-F59</f>
        <v>95</v>
      </c>
      <c r="H59" s="51"/>
    </row>
    <row r="60" spans="1:8" x14ac:dyDescent="0.25">
      <c r="A60" s="56">
        <v>46098</v>
      </c>
      <c r="B60" s="51"/>
      <c r="C60" s="51"/>
      <c r="D60" s="51" t="s">
        <v>383</v>
      </c>
      <c r="E60" s="52"/>
      <c r="F60" s="52">
        <v>1</v>
      </c>
      <c r="G60" s="52">
        <f>G59+E60-F60</f>
        <v>94</v>
      </c>
      <c r="H60" s="51"/>
    </row>
    <row r="61" spans="1:8" x14ac:dyDescent="0.25">
      <c r="A61" s="56">
        <v>46116</v>
      </c>
      <c r="B61" s="51"/>
      <c r="C61" s="51"/>
      <c r="D61" s="51" t="s">
        <v>266</v>
      </c>
      <c r="E61" s="52"/>
      <c r="F61" s="52">
        <v>5</v>
      </c>
      <c r="G61" s="52">
        <f>G60+E61-F61</f>
        <v>89</v>
      </c>
      <c r="H61" s="51"/>
    </row>
    <row r="62" spans="1:8" x14ac:dyDescent="0.25">
      <c r="A62" s="56">
        <v>46134</v>
      </c>
      <c r="B62" s="51"/>
      <c r="C62" s="51"/>
      <c r="D62" s="51" t="s">
        <v>70</v>
      </c>
      <c r="E62" s="52"/>
      <c r="F62" s="52">
        <v>1</v>
      </c>
      <c r="G62" s="52">
        <f>G61+E62-F62</f>
        <v>88</v>
      </c>
      <c r="H62" s="51"/>
    </row>
    <row r="63" spans="1:8" x14ac:dyDescent="0.25">
      <c r="A63" s="56"/>
      <c r="B63" s="51"/>
      <c r="C63" s="51"/>
      <c r="D63" s="51"/>
      <c r="E63" s="52"/>
      <c r="F63" s="52"/>
      <c r="G63" s="52">
        <f t="shared" ref="G63:G68" si="5">G62+E63-F63</f>
        <v>88</v>
      </c>
      <c r="H63" s="51"/>
    </row>
    <row r="64" spans="1:8" x14ac:dyDescent="0.25">
      <c r="A64" s="56"/>
      <c r="B64" s="51"/>
      <c r="C64" s="51"/>
      <c r="D64" s="51"/>
      <c r="E64" s="52"/>
      <c r="F64" s="52"/>
      <c r="G64" s="52">
        <f t="shared" si="5"/>
        <v>88</v>
      </c>
      <c r="H64" s="51"/>
    </row>
    <row r="65" spans="1:8" x14ac:dyDescent="0.25">
      <c r="A65" s="56"/>
      <c r="B65" s="51"/>
      <c r="C65" s="51"/>
      <c r="D65" s="51"/>
      <c r="E65" s="52"/>
      <c r="F65" s="52"/>
      <c r="G65" s="52">
        <f t="shared" si="5"/>
        <v>88</v>
      </c>
      <c r="H65" s="51"/>
    </row>
    <row r="66" spans="1:8" x14ac:dyDescent="0.25">
      <c r="A66" s="56"/>
      <c r="B66" s="51"/>
      <c r="C66" s="51"/>
      <c r="D66" s="51"/>
      <c r="E66" s="52"/>
      <c r="F66" s="52"/>
      <c r="G66" s="52">
        <f t="shared" si="5"/>
        <v>88</v>
      </c>
      <c r="H66" s="51"/>
    </row>
    <row r="67" spans="1:8" x14ac:dyDescent="0.25">
      <c r="A67" s="56"/>
      <c r="B67" s="51"/>
      <c r="C67" s="51"/>
      <c r="D67" s="51"/>
      <c r="E67" s="52"/>
      <c r="F67" s="52"/>
      <c r="G67" s="52">
        <f t="shared" si="5"/>
        <v>88</v>
      </c>
      <c r="H67" s="51"/>
    </row>
    <row r="68" spans="1:8" x14ac:dyDescent="0.25">
      <c r="A68" s="56"/>
      <c r="B68" s="51"/>
      <c r="C68" s="51"/>
      <c r="D68" s="51"/>
      <c r="E68" s="52"/>
      <c r="F68" s="52"/>
      <c r="G68" s="52">
        <f t="shared" si="5"/>
        <v>88</v>
      </c>
      <c r="H68" s="51"/>
    </row>
    <row r="69" spans="1:8" x14ac:dyDescent="0.25">
      <c r="A69" s="56"/>
      <c r="B69" s="51"/>
      <c r="C69" s="51"/>
      <c r="D69" s="51"/>
      <c r="E69" s="52"/>
      <c r="F69" s="52"/>
      <c r="G69" s="52">
        <f t="shared" ref="G69:G74" si="6">G68+E69-F69</f>
        <v>88</v>
      </c>
      <c r="H69" s="51"/>
    </row>
    <row r="70" spans="1:8" x14ac:dyDescent="0.25">
      <c r="A70" s="56"/>
      <c r="B70" s="51"/>
      <c r="C70" s="51"/>
      <c r="D70" s="51"/>
      <c r="E70" s="52"/>
      <c r="F70" s="52"/>
      <c r="G70" s="52">
        <f t="shared" si="6"/>
        <v>88</v>
      </c>
      <c r="H70" s="51"/>
    </row>
    <row r="71" spans="1:8" x14ac:dyDescent="0.25">
      <c r="A71" s="56"/>
      <c r="B71" s="51"/>
      <c r="C71" s="51"/>
      <c r="D71" s="51"/>
      <c r="E71" s="52"/>
      <c r="F71" s="52"/>
      <c r="G71" s="52">
        <f t="shared" si="6"/>
        <v>88</v>
      </c>
      <c r="H71" s="51"/>
    </row>
    <row r="72" spans="1:8" x14ac:dyDescent="0.25">
      <c r="A72" s="56"/>
      <c r="B72" s="51"/>
      <c r="C72" s="51"/>
      <c r="D72" s="51"/>
      <c r="E72" s="52"/>
      <c r="F72" s="52"/>
      <c r="G72" s="52">
        <f t="shared" si="6"/>
        <v>88</v>
      </c>
      <c r="H72" s="51"/>
    </row>
    <row r="73" spans="1:8" x14ac:dyDescent="0.25">
      <c r="A73" s="56"/>
      <c r="B73" s="51"/>
      <c r="C73" s="51"/>
      <c r="D73" s="51"/>
      <c r="E73" s="52"/>
      <c r="F73" s="52"/>
      <c r="G73" s="52">
        <f t="shared" si="6"/>
        <v>88</v>
      </c>
      <c r="H73" s="51"/>
    </row>
    <row r="74" spans="1:8" x14ac:dyDescent="0.25">
      <c r="A74" s="56"/>
      <c r="B74" s="51"/>
      <c r="C74" s="51"/>
      <c r="D74" s="51"/>
      <c r="E74" s="52"/>
      <c r="F74" s="52"/>
      <c r="G74" s="52">
        <f t="shared" si="6"/>
        <v>88</v>
      </c>
      <c r="H74" s="5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activeCell="G26" sqref="G26"/>
    </sheetView>
  </sheetViews>
  <sheetFormatPr defaultRowHeight="16.5" x14ac:dyDescent="0.25"/>
  <cols>
    <col min="1" max="3" width="9.140625" style="57"/>
    <col min="4" max="4" width="21.5703125" style="57" customWidth="1"/>
    <col min="5" max="7" width="9.140625" style="61"/>
    <col min="8" max="16384" width="9.140625" style="57"/>
  </cols>
  <sheetData>
    <row r="1" spans="1:8" x14ac:dyDescent="0.25">
      <c r="A1" s="57" t="s">
        <v>0</v>
      </c>
    </row>
    <row r="2" spans="1:8" x14ac:dyDescent="0.25">
      <c r="A2" s="57" t="s">
        <v>1</v>
      </c>
    </row>
    <row r="3" spans="1:8" x14ac:dyDescent="0.25">
      <c r="A3" s="57" t="s">
        <v>2</v>
      </c>
    </row>
    <row r="4" spans="1:8" x14ac:dyDescent="0.25">
      <c r="A4" s="58" t="s">
        <v>33</v>
      </c>
      <c r="B4" s="58"/>
      <c r="C4" s="58"/>
    </row>
    <row r="6" spans="1:8" x14ac:dyDescent="0.25">
      <c r="A6" s="59" t="s">
        <v>4</v>
      </c>
      <c r="B6" s="59" t="s">
        <v>6</v>
      </c>
      <c r="C6" s="59" t="s">
        <v>5</v>
      </c>
      <c r="D6" s="59" t="s">
        <v>7</v>
      </c>
      <c r="E6" s="62" t="s">
        <v>8</v>
      </c>
      <c r="F6" s="62" t="s">
        <v>9</v>
      </c>
      <c r="G6" s="62" t="s">
        <v>10</v>
      </c>
      <c r="H6" s="59" t="s">
        <v>11</v>
      </c>
    </row>
    <row r="7" spans="1:8" x14ac:dyDescent="0.25">
      <c r="A7" s="60">
        <v>45809</v>
      </c>
      <c r="B7" s="59"/>
      <c r="C7" s="59"/>
      <c r="D7" s="59" t="s">
        <v>37</v>
      </c>
      <c r="E7" s="62"/>
      <c r="F7" s="62"/>
      <c r="G7" s="62">
        <v>0</v>
      </c>
      <c r="H7" s="59"/>
    </row>
    <row r="8" spans="1:8" x14ac:dyDescent="0.25">
      <c r="A8" s="59"/>
      <c r="B8" s="59"/>
      <c r="C8" s="59"/>
      <c r="D8" s="59"/>
      <c r="E8" s="62"/>
      <c r="F8" s="62"/>
      <c r="G8" s="62">
        <f>G7+E8-F8</f>
        <v>0</v>
      </c>
      <c r="H8" s="59"/>
    </row>
    <row r="9" spans="1:8" x14ac:dyDescent="0.25">
      <c r="A9" s="59"/>
      <c r="B9" s="59"/>
      <c r="C9" s="59"/>
      <c r="D9" s="59"/>
      <c r="E9" s="62"/>
      <c r="F9" s="62"/>
      <c r="G9" s="62">
        <f t="shared" ref="G9:G16" si="0">G8+E9-F9</f>
        <v>0</v>
      </c>
      <c r="H9" s="59"/>
    </row>
    <row r="10" spans="1:8" x14ac:dyDescent="0.25">
      <c r="A10" s="59"/>
      <c r="B10" s="59"/>
      <c r="C10" s="59"/>
      <c r="D10" s="59"/>
      <c r="E10" s="62"/>
      <c r="F10" s="62"/>
      <c r="G10" s="62">
        <f t="shared" si="0"/>
        <v>0</v>
      </c>
      <c r="H10" s="59"/>
    </row>
    <row r="11" spans="1:8" x14ac:dyDescent="0.25">
      <c r="A11" s="59"/>
      <c r="B11" s="59"/>
      <c r="C11" s="59"/>
      <c r="D11" s="59"/>
      <c r="E11" s="62"/>
      <c r="F11" s="62"/>
      <c r="G11" s="62">
        <f t="shared" si="0"/>
        <v>0</v>
      </c>
      <c r="H11" s="59"/>
    </row>
    <row r="12" spans="1:8" x14ac:dyDescent="0.25">
      <c r="A12" s="59"/>
      <c r="B12" s="59"/>
      <c r="C12" s="59"/>
      <c r="D12" s="59"/>
      <c r="E12" s="62"/>
      <c r="F12" s="62"/>
      <c r="G12" s="62">
        <f t="shared" si="0"/>
        <v>0</v>
      </c>
      <c r="H12" s="59"/>
    </row>
    <row r="13" spans="1:8" x14ac:dyDescent="0.25">
      <c r="A13" s="59"/>
      <c r="B13" s="59"/>
      <c r="C13" s="59"/>
      <c r="D13" s="59"/>
      <c r="E13" s="62"/>
      <c r="F13" s="62"/>
      <c r="G13" s="62">
        <f t="shared" si="0"/>
        <v>0</v>
      </c>
      <c r="H13" s="59"/>
    </row>
    <row r="14" spans="1:8" x14ac:dyDescent="0.25">
      <c r="A14" s="59"/>
      <c r="B14" s="59"/>
      <c r="C14" s="59"/>
      <c r="D14" s="59"/>
      <c r="E14" s="62"/>
      <c r="F14" s="62"/>
      <c r="G14" s="62">
        <f t="shared" si="0"/>
        <v>0</v>
      </c>
      <c r="H14" s="59"/>
    </row>
    <row r="15" spans="1:8" x14ac:dyDescent="0.25">
      <c r="A15" s="59"/>
      <c r="B15" s="59"/>
      <c r="C15" s="59"/>
      <c r="D15" s="59"/>
      <c r="E15" s="62"/>
      <c r="F15" s="62"/>
      <c r="G15" s="62">
        <f t="shared" si="0"/>
        <v>0</v>
      </c>
      <c r="H15" s="59"/>
    </row>
    <row r="16" spans="1:8" x14ac:dyDescent="0.25">
      <c r="A16" s="59"/>
      <c r="B16" s="59"/>
      <c r="C16" s="59"/>
      <c r="D16" s="59"/>
      <c r="E16" s="62"/>
      <c r="F16" s="62"/>
      <c r="G16" s="62">
        <f t="shared" si="0"/>
        <v>0</v>
      </c>
      <c r="H16" s="59"/>
    </row>
    <row r="17" spans="1:8" x14ac:dyDescent="0.25">
      <c r="A17" s="59"/>
      <c r="B17" s="59"/>
      <c r="C17" s="59"/>
      <c r="D17" s="59"/>
      <c r="E17" s="62"/>
      <c r="F17" s="62"/>
      <c r="G17" s="62">
        <f t="shared" ref="G17:G26" si="1">G16+E17-F17</f>
        <v>0</v>
      </c>
      <c r="H17" s="59"/>
    </row>
    <row r="18" spans="1:8" x14ac:dyDescent="0.25">
      <c r="A18" s="59"/>
      <c r="B18" s="59"/>
      <c r="C18" s="59"/>
      <c r="D18" s="59"/>
      <c r="E18" s="62"/>
      <c r="F18" s="62"/>
      <c r="G18" s="62">
        <f t="shared" si="1"/>
        <v>0</v>
      </c>
      <c r="H18" s="59"/>
    </row>
    <row r="19" spans="1:8" x14ac:dyDescent="0.25">
      <c r="A19" s="59"/>
      <c r="B19" s="59"/>
      <c r="C19" s="59"/>
      <c r="D19" s="59"/>
      <c r="E19" s="62"/>
      <c r="F19" s="62"/>
      <c r="G19" s="62">
        <f t="shared" si="1"/>
        <v>0</v>
      </c>
      <c r="H19" s="59"/>
    </row>
    <row r="20" spans="1:8" x14ac:dyDescent="0.25">
      <c r="A20" s="59"/>
      <c r="B20" s="59"/>
      <c r="C20" s="59"/>
      <c r="D20" s="59"/>
      <c r="E20" s="62"/>
      <c r="F20" s="62"/>
      <c r="G20" s="62">
        <f t="shared" si="1"/>
        <v>0</v>
      </c>
      <c r="H20" s="59"/>
    </row>
    <row r="21" spans="1:8" x14ac:dyDescent="0.25">
      <c r="A21" s="59"/>
      <c r="B21" s="59"/>
      <c r="C21" s="59"/>
      <c r="D21" s="59"/>
      <c r="E21" s="62"/>
      <c r="F21" s="62"/>
      <c r="G21" s="62">
        <f t="shared" si="1"/>
        <v>0</v>
      </c>
      <c r="H21" s="59"/>
    </row>
    <row r="22" spans="1:8" x14ac:dyDescent="0.25">
      <c r="A22" s="59"/>
      <c r="B22" s="59"/>
      <c r="C22" s="59"/>
      <c r="D22" s="59"/>
      <c r="E22" s="62"/>
      <c r="F22" s="62"/>
      <c r="G22" s="62">
        <f t="shared" si="1"/>
        <v>0</v>
      </c>
      <c r="H22" s="59"/>
    </row>
    <row r="23" spans="1:8" x14ac:dyDescent="0.25">
      <c r="A23" s="59"/>
      <c r="B23" s="59"/>
      <c r="C23" s="59"/>
      <c r="D23" s="59"/>
      <c r="E23" s="62"/>
      <c r="F23" s="62"/>
      <c r="G23" s="62">
        <f t="shared" si="1"/>
        <v>0</v>
      </c>
      <c r="H23" s="59"/>
    </row>
    <row r="24" spans="1:8" x14ac:dyDescent="0.25">
      <c r="A24" s="59"/>
      <c r="B24" s="59"/>
      <c r="C24" s="59"/>
      <c r="D24" s="59"/>
      <c r="E24" s="62"/>
      <c r="F24" s="62"/>
      <c r="G24" s="62">
        <f t="shared" si="1"/>
        <v>0</v>
      </c>
      <c r="H24" s="59"/>
    </row>
    <row r="25" spans="1:8" x14ac:dyDescent="0.25">
      <c r="A25" s="59"/>
      <c r="B25" s="59"/>
      <c r="C25" s="59"/>
      <c r="D25" s="59"/>
      <c r="E25" s="62"/>
      <c r="F25" s="62"/>
      <c r="G25" s="62">
        <f t="shared" si="1"/>
        <v>0</v>
      </c>
      <c r="H25" s="59"/>
    </row>
    <row r="26" spans="1:8" x14ac:dyDescent="0.25">
      <c r="A26" s="59"/>
      <c r="B26" s="59"/>
      <c r="C26" s="59"/>
      <c r="D26" s="59"/>
      <c r="E26" s="62"/>
      <c r="F26" s="62"/>
      <c r="G26" s="62">
        <f t="shared" si="1"/>
        <v>0</v>
      </c>
      <c r="H26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opLeftCell="A13" workbookViewId="0">
      <selection activeCell="G31" sqref="G31"/>
    </sheetView>
  </sheetViews>
  <sheetFormatPr defaultRowHeight="16.5" x14ac:dyDescent="0.25"/>
  <cols>
    <col min="1" max="3" width="9.140625" style="57"/>
    <col min="4" max="4" width="21.5703125" style="57" customWidth="1"/>
    <col min="5" max="5" width="10.28515625" style="61" bestFit="1" customWidth="1"/>
    <col min="6" max="6" width="10" style="61" bestFit="1" customWidth="1"/>
    <col min="7" max="7" width="11.28515625" style="61" bestFit="1" customWidth="1"/>
    <col min="8" max="16384" width="9.140625" style="57"/>
  </cols>
  <sheetData>
    <row r="1" spans="1:8" x14ac:dyDescent="0.25">
      <c r="A1" s="57" t="s">
        <v>0</v>
      </c>
    </row>
    <row r="2" spans="1:8" x14ac:dyDescent="0.25">
      <c r="A2" s="57" t="s">
        <v>1</v>
      </c>
    </row>
    <row r="3" spans="1:8" x14ac:dyDescent="0.25">
      <c r="A3" s="57" t="s">
        <v>2</v>
      </c>
    </row>
    <row r="4" spans="1:8" x14ac:dyDescent="0.25">
      <c r="A4" s="58" t="s">
        <v>34</v>
      </c>
      <c r="B4" s="58"/>
    </row>
    <row r="6" spans="1:8" x14ac:dyDescent="0.25">
      <c r="A6" s="59" t="s">
        <v>4</v>
      </c>
      <c r="B6" s="59" t="s">
        <v>6</v>
      </c>
      <c r="C6" s="59" t="s">
        <v>5</v>
      </c>
      <c r="D6" s="59" t="s">
        <v>7</v>
      </c>
      <c r="E6" s="62" t="s">
        <v>8</v>
      </c>
      <c r="F6" s="62" t="s">
        <v>9</v>
      </c>
      <c r="G6" s="62" t="s">
        <v>10</v>
      </c>
      <c r="H6" s="59" t="s">
        <v>11</v>
      </c>
    </row>
    <row r="7" spans="1:8" x14ac:dyDescent="0.25">
      <c r="A7" s="60">
        <v>45809</v>
      </c>
      <c r="B7" s="59"/>
      <c r="C7" s="59"/>
      <c r="D7" s="59" t="s">
        <v>37</v>
      </c>
      <c r="E7" s="62"/>
      <c r="F7" s="62"/>
      <c r="G7" s="62">
        <v>159</v>
      </c>
      <c r="H7" s="59"/>
    </row>
    <row r="8" spans="1:8" x14ac:dyDescent="0.25">
      <c r="A8" s="60">
        <v>45834</v>
      </c>
      <c r="B8" s="59"/>
      <c r="C8" s="59"/>
      <c r="D8" s="59" t="s">
        <v>95</v>
      </c>
      <c r="E8" s="62"/>
      <c r="F8" s="62">
        <v>1</v>
      </c>
      <c r="G8" s="62">
        <f>G7+E8-F8</f>
        <v>158</v>
      </c>
      <c r="H8" s="59"/>
    </row>
    <row r="9" spans="1:8" x14ac:dyDescent="0.25">
      <c r="A9" s="60">
        <v>45863</v>
      </c>
      <c r="B9" s="59"/>
      <c r="C9" s="59"/>
      <c r="D9" s="59" t="s">
        <v>95</v>
      </c>
      <c r="E9" s="62"/>
      <c r="F9" s="62">
        <v>2</v>
      </c>
      <c r="G9" s="62">
        <f t="shared" ref="G9:G16" si="0">G8+E9-F9</f>
        <v>156</v>
      </c>
      <c r="H9" s="59"/>
    </row>
    <row r="10" spans="1:8" x14ac:dyDescent="0.25">
      <c r="A10" s="60">
        <v>45883</v>
      </c>
      <c r="B10" s="59">
        <v>76258</v>
      </c>
      <c r="C10" s="59">
        <v>66407</v>
      </c>
      <c r="D10" s="59" t="s">
        <v>88</v>
      </c>
      <c r="E10" s="62"/>
      <c r="F10" s="62">
        <v>10</v>
      </c>
      <c r="G10" s="62">
        <f t="shared" si="0"/>
        <v>146</v>
      </c>
      <c r="H10" s="59"/>
    </row>
    <row r="11" spans="1:8" x14ac:dyDescent="0.25">
      <c r="A11" s="60">
        <v>45969</v>
      </c>
      <c r="B11" s="59"/>
      <c r="C11" s="59"/>
      <c r="D11" s="59" t="s">
        <v>61</v>
      </c>
      <c r="E11" s="62"/>
      <c r="F11" s="62">
        <v>0.25</v>
      </c>
      <c r="G11" s="62">
        <f t="shared" si="0"/>
        <v>145.75</v>
      </c>
      <c r="H11" s="59"/>
    </row>
    <row r="12" spans="1:8" x14ac:dyDescent="0.25">
      <c r="A12" s="60">
        <v>46009</v>
      </c>
      <c r="B12" s="59"/>
      <c r="C12" s="59"/>
      <c r="D12" s="59" t="s">
        <v>95</v>
      </c>
      <c r="E12" s="62"/>
      <c r="F12" s="62">
        <v>0.5</v>
      </c>
      <c r="G12" s="62">
        <f t="shared" si="0"/>
        <v>145.25</v>
      </c>
      <c r="H12" s="59"/>
    </row>
    <row r="13" spans="1:8" x14ac:dyDescent="0.25">
      <c r="A13" s="60">
        <v>46022</v>
      </c>
      <c r="B13" s="59"/>
      <c r="C13" s="59"/>
      <c r="D13" s="59" t="s">
        <v>61</v>
      </c>
      <c r="E13" s="62"/>
      <c r="F13" s="62">
        <v>0.25</v>
      </c>
      <c r="G13" s="62">
        <f t="shared" si="0"/>
        <v>145</v>
      </c>
      <c r="H13" s="59"/>
    </row>
    <row r="14" spans="1:8" x14ac:dyDescent="0.25">
      <c r="A14" s="59"/>
      <c r="B14" s="59"/>
      <c r="C14" s="59"/>
      <c r="D14" s="59"/>
      <c r="E14" s="62"/>
      <c r="F14" s="62"/>
      <c r="G14" s="62">
        <f t="shared" si="0"/>
        <v>145</v>
      </c>
      <c r="H14" s="59"/>
    </row>
    <row r="15" spans="1:8" x14ac:dyDescent="0.25">
      <c r="A15" s="59"/>
      <c r="B15" s="59"/>
      <c r="C15" s="59"/>
      <c r="D15" s="59"/>
      <c r="E15" s="62"/>
      <c r="F15" s="62"/>
      <c r="G15" s="62">
        <f t="shared" si="0"/>
        <v>145</v>
      </c>
      <c r="H15" s="59"/>
    </row>
    <row r="16" spans="1:8" x14ac:dyDescent="0.25">
      <c r="A16" s="59"/>
      <c r="B16" s="59"/>
      <c r="C16" s="59"/>
      <c r="D16" s="59"/>
      <c r="E16" s="62"/>
      <c r="F16" s="62"/>
      <c r="G16" s="62">
        <f t="shared" si="0"/>
        <v>145</v>
      </c>
      <c r="H16" s="59"/>
    </row>
    <row r="17" spans="1:8" x14ac:dyDescent="0.25">
      <c r="A17" s="59"/>
      <c r="B17" s="59"/>
      <c r="C17" s="59"/>
      <c r="D17" s="59"/>
      <c r="E17" s="62"/>
      <c r="F17" s="62"/>
      <c r="G17" s="62">
        <f t="shared" ref="G17:G31" si="1">G16+E17-F17</f>
        <v>145</v>
      </c>
      <c r="H17" s="59"/>
    </row>
    <row r="18" spans="1:8" x14ac:dyDescent="0.25">
      <c r="A18" s="59"/>
      <c r="B18" s="59"/>
      <c r="C18" s="59"/>
      <c r="D18" s="59"/>
      <c r="E18" s="62"/>
      <c r="F18" s="62"/>
      <c r="G18" s="62">
        <f t="shared" si="1"/>
        <v>145</v>
      </c>
      <c r="H18" s="59"/>
    </row>
    <row r="19" spans="1:8" x14ac:dyDescent="0.25">
      <c r="A19" s="59"/>
      <c r="B19" s="59"/>
      <c r="C19" s="59"/>
      <c r="D19" s="59"/>
      <c r="E19" s="62"/>
      <c r="F19" s="62"/>
      <c r="G19" s="62">
        <f t="shared" si="1"/>
        <v>145</v>
      </c>
      <c r="H19" s="59"/>
    </row>
    <row r="20" spans="1:8" x14ac:dyDescent="0.25">
      <c r="A20" s="59"/>
      <c r="B20" s="59"/>
      <c r="C20" s="59"/>
      <c r="D20" s="59"/>
      <c r="E20" s="62"/>
      <c r="F20" s="62"/>
      <c r="G20" s="62">
        <f t="shared" si="1"/>
        <v>145</v>
      </c>
      <c r="H20" s="59"/>
    </row>
    <row r="21" spans="1:8" x14ac:dyDescent="0.25">
      <c r="A21" s="59"/>
      <c r="B21" s="59"/>
      <c r="C21" s="59"/>
      <c r="D21" s="59"/>
      <c r="E21" s="62"/>
      <c r="F21" s="62"/>
      <c r="G21" s="62">
        <f t="shared" si="1"/>
        <v>145</v>
      </c>
      <c r="H21" s="59"/>
    </row>
    <row r="22" spans="1:8" x14ac:dyDescent="0.25">
      <c r="A22" s="59"/>
      <c r="B22" s="59"/>
      <c r="C22" s="59"/>
      <c r="D22" s="59"/>
      <c r="E22" s="62"/>
      <c r="F22" s="62"/>
      <c r="G22" s="62">
        <f t="shared" si="1"/>
        <v>145</v>
      </c>
      <c r="H22" s="59"/>
    </row>
    <row r="23" spans="1:8" x14ac:dyDescent="0.25">
      <c r="A23" s="59"/>
      <c r="B23" s="59"/>
      <c r="C23" s="59"/>
      <c r="D23" s="59"/>
      <c r="E23" s="62"/>
      <c r="F23" s="62"/>
      <c r="G23" s="62">
        <f t="shared" si="1"/>
        <v>145</v>
      </c>
      <c r="H23" s="59"/>
    </row>
    <row r="24" spans="1:8" x14ac:dyDescent="0.25">
      <c r="A24" s="59"/>
      <c r="B24" s="59"/>
      <c r="C24" s="59"/>
      <c r="D24" s="59"/>
      <c r="E24" s="62"/>
      <c r="F24" s="62"/>
      <c r="G24" s="62">
        <f t="shared" si="1"/>
        <v>145</v>
      </c>
      <c r="H24" s="59"/>
    </row>
    <row r="25" spans="1:8" x14ac:dyDescent="0.25">
      <c r="A25" s="59"/>
      <c r="B25" s="59"/>
      <c r="C25" s="59"/>
      <c r="D25" s="59"/>
      <c r="E25" s="62"/>
      <c r="F25" s="62"/>
      <c r="G25" s="62">
        <f t="shared" si="1"/>
        <v>145</v>
      </c>
      <c r="H25" s="59"/>
    </row>
    <row r="26" spans="1:8" x14ac:dyDescent="0.25">
      <c r="A26" s="59"/>
      <c r="B26" s="59"/>
      <c r="C26" s="59"/>
      <c r="D26" s="59"/>
      <c r="E26" s="62"/>
      <c r="F26" s="62"/>
      <c r="G26" s="62">
        <f t="shared" si="1"/>
        <v>145</v>
      </c>
      <c r="H26" s="59"/>
    </row>
    <row r="27" spans="1:8" x14ac:dyDescent="0.25">
      <c r="A27" s="59"/>
      <c r="B27" s="59"/>
      <c r="C27" s="59"/>
      <c r="D27" s="59"/>
      <c r="E27" s="62"/>
      <c r="F27" s="62"/>
      <c r="G27" s="62">
        <f t="shared" si="1"/>
        <v>145</v>
      </c>
      <c r="H27" s="59"/>
    </row>
    <row r="28" spans="1:8" x14ac:dyDescent="0.25">
      <c r="A28" s="59"/>
      <c r="B28" s="59"/>
      <c r="C28" s="59"/>
      <c r="D28" s="59"/>
      <c r="E28" s="62"/>
      <c r="F28" s="62"/>
      <c r="G28" s="62">
        <f t="shared" si="1"/>
        <v>145</v>
      </c>
      <c r="H28" s="59"/>
    </row>
    <row r="29" spans="1:8" x14ac:dyDescent="0.25">
      <c r="A29" s="59"/>
      <c r="B29" s="59"/>
      <c r="C29" s="59"/>
      <c r="D29" s="59"/>
      <c r="E29" s="62"/>
      <c r="F29" s="62"/>
      <c r="G29" s="62">
        <f t="shared" si="1"/>
        <v>145</v>
      </c>
      <c r="H29" s="59"/>
    </row>
    <row r="30" spans="1:8" x14ac:dyDescent="0.25">
      <c r="A30" s="59"/>
      <c r="B30" s="59"/>
      <c r="C30" s="59"/>
      <c r="D30" s="59"/>
      <c r="E30" s="62"/>
      <c r="F30" s="62"/>
      <c r="G30" s="62">
        <f t="shared" si="1"/>
        <v>145</v>
      </c>
      <c r="H30" s="59"/>
    </row>
    <row r="31" spans="1:8" x14ac:dyDescent="0.25">
      <c r="A31" s="59"/>
      <c r="B31" s="59"/>
      <c r="C31" s="59"/>
      <c r="D31" s="59"/>
      <c r="E31" s="62"/>
      <c r="F31" s="62"/>
      <c r="G31" s="62">
        <f t="shared" si="1"/>
        <v>145</v>
      </c>
      <c r="H31" s="5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ySplit="2100" topLeftCell="A13" activePane="bottomLeft"/>
      <selection activeCell="E1" sqref="E1:G1048576"/>
      <selection pane="bottomLeft" activeCell="G32" sqref="G32"/>
    </sheetView>
  </sheetViews>
  <sheetFormatPr defaultRowHeight="16.5" x14ac:dyDescent="0.25"/>
  <cols>
    <col min="1" max="1" width="13.140625" style="57" customWidth="1"/>
    <col min="2" max="3" width="9.140625" style="57"/>
    <col min="4" max="4" width="21.5703125" style="57" customWidth="1"/>
    <col min="5" max="5" width="10.5703125" style="61" customWidth="1"/>
    <col min="6" max="6" width="10" style="61" bestFit="1" customWidth="1"/>
    <col min="7" max="7" width="11.28515625" style="61" bestFit="1" customWidth="1"/>
    <col min="8" max="16384" width="9.140625" style="57"/>
  </cols>
  <sheetData>
    <row r="1" spans="1:8" x14ac:dyDescent="0.25">
      <c r="A1" s="57" t="s">
        <v>0</v>
      </c>
    </row>
    <row r="2" spans="1:8" x14ac:dyDescent="0.25">
      <c r="A2" s="57" t="s">
        <v>1</v>
      </c>
    </row>
    <row r="3" spans="1:8" x14ac:dyDescent="0.25">
      <c r="A3" s="57" t="s">
        <v>2</v>
      </c>
    </row>
    <row r="4" spans="1:8" x14ac:dyDescent="0.25">
      <c r="A4" s="58" t="s">
        <v>32</v>
      </c>
      <c r="B4" s="58"/>
    </row>
    <row r="6" spans="1:8" x14ac:dyDescent="0.25">
      <c r="A6" s="69" t="s">
        <v>4</v>
      </c>
      <c r="B6" s="69" t="s">
        <v>6</v>
      </c>
      <c r="C6" s="69" t="s">
        <v>5</v>
      </c>
      <c r="D6" s="69" t="s">
        <v>7</v>
      </c>
      <c r="E6" s="70" t="s">
        <v>8</v>
      </c>
      <c r="F6" s="70" t="s">
        <v>9</v>
      </c>
      <c r="G6" s="70" t="s">
        <v>10</v>
      </c>
      <c r="H6" s="69" t="s">
        <v>11</v>
      </c>
    </row>
    <row r="7" spans="1:8" x14ac:dyDescent="0.25">
      <c r="A7" s="68">
        <v>45809</v>
      </c>
      <c r="B7" s="59"/>
      <c r="C7" s="59"/>
      <c r="D7" s="59" t="s">
        <v>35</v>
      </c>
      <c r="E7" s="62"/>
      <c r="F7" s="62"/>
      <c r="G7" s="62">
        <v>154</v>
      </c>
      <c r="H7" s="59"/>
    </row>
    <row r="8" spans="1:8" x14ac:dyDescent="0.25">
      <c r="A8" s="68">
        <v>45809</v>
      </c>
      <c r="B8" s="59"/>
      <c r="C8" s="59"/>
      <c r="D8" s="59" t="s">
        <v>36</v>
      </c>
      <c r="E8" s="62"/>
      <c r="F8" s="62">
        <v>0.5</v>
      </c>
      <c r="G8" s="62">
        <f>G7+E8-F8</f>
        <v>153.5</v>
      </c>
      <c r="H8" s="59"/>
    </row>
    <row r="9" spans="1:8" x14ac:dyDescent="0.25">
      <c r="A9" s="68">
        <v>45815</v>
      </c>
      <c r="B9" s="59"/>
      <c r="C9" s="59"/>
      <c r="D9" s="59" t="s">
        <v>36</v>
      </c>
      <c r="E9" s="62"/>
      <c r="F9" s="62">
        <v>0.5</v>
      </c>
      <c r="G9" s="62">
        <f t="shared" ref="G9:G16" si="0">G8+E9-F9</f>
        <v>153</v>
      </c>
      <c r="H9" s="59"/>
    </row>
    <row r="10" spans="1:8" x14ac:dyDescent="0.25">
      <c r="A10" s="68">
        <v>45883</v>
      </c>
      <c r="B10" s="59"/>
      <c r="C10" s="59"/>
      <c r="D10" s="59" t="s">
        <v>88</v>
      </c>
      <c r="E10" s="62"/>
      <c r="F10" s="62">
        <v>53</v>
      </c>
      <c r="G10" s="62">
        <f t="shared" si="0"/>
        <v>100</v>
      </c>
      <c r="H10" s="59"/>
    </row>
    <row r="11" spans="1:8" x14ac:dyDescent="0.25">
      <c r="A11" s="68">
        <v>45962</v>
      </c>
      <c r="B11" s="59">
        <v>81404</v>
      </c>
      <c r="C11" s="59">
        <v>71347</v>
      </c>
      <c r="D11" s="59" t="s">
        <v>88</v>
      </c>
      <c r="E11" s="62"/>
      <c r="F11" s="62">
        <v>30</v>
      </c>
      <c r="G11" s="62">
        <f t="shared" si="0"/>
        <v>70</v>
      </c>
      <c r="H11" s="59"/>
    </row>
    <row r="12" spans="1:8" x14ac:dyDescent="0.25">
      <c r="A12" s="68">
        <v>46028</v>
      </c>
      <c r="B12" s="59"/>
      <c r="C12" s="59"/>
      <c r="D12" s="59" t="s">
        <v>287</v>
      </c>
      <c r="E12" s="62"/>
      <c r="F12" s="62">
        <v>6.5</v>
      </c>
      <c r="G12" s="62">
        <f t="shared" si="0"/>
        <v>63.5</v>
      </c>
      <c r="H12" s="59"/>
    </row>
    <row r="13" spans="1:8" x14ac:dyDescent="0.25">
      <c r="A13" s="68">
        <v>46060</v>
      </c>
      <c r="B13" s="59"/>
      <c r="C13" s="59"/>
      <c r="D13" s="59" t="s">
        <v>346</v>
      </c>
      <c r="E13" s="62"/>
      <c r="F13" s="62">
        <v>7</v>
      </c>
      <c r="G13" s="62">
        <f t="shared" si="0"/>
        <v>56.5</v>
      </c>
      <c r="H13" s="59"/>
    </row>
    <row r="14" spans="1:8" x14ac:dyDescent="0.25">
      <c r="A14" s="59"/>
      <c r="B14" s="59"/>
      <c r="C14" s="59"/>
      <c r="D14" s="59"/>
      <c r="E14" s="62"/>
      <c r="F14" s="62"/>
      <c r="G14" s="62">
        <f t="shared" si="0"/>
        <v>56.5</v>
      </c>
      <c r="H14" s="59"/>
    </row>
    <row r="15" spans="1:8" x14ac:dyDescent="0.25">
      <c r="A15" s="59"/>
      <c r="B15" s="59"/>
      <c r="C15" s="59"/>
      <c r="D15" s="59"/>
      <c r="E15" s="62"/>
      <c r="F15" s="62"/>
      <c r="G15" s="62">
        <f t="shared" si="0"/>
        <v>56.5</v>
      </c>
      <c r="H15" s="59"/>
    </row>
    <row r="16" spans="1:8" x14ac:dyDescent="0.25">
      <c r="A16" s="59"/>
      <c r="B16" s="59"/>
      <c r="C16" s="59"/>
      <c r="D16" s="59"/>
      <c r="E16" s="62"/>
      <c r="F16" s="62"/>
      <c r="G16" s="62">
        <f t="shared" si="0"/>
        <v>56.5</v>
      </c>
      <c r="H16" s="59"/>
    </row>
    <row r="17" spans="1:8" x14ac:dyDescent="0.25">
      <c r="A17" s="59"/>
      <c r="B17" s="59"/>
      <c r="C17" s="59"/>
      <c r="D17" s="59"/>
      <c r="E17" s="62"/>
      <c r="F17" s="62"/>
      <c r="G17" s="62">
        <f t="shared" ref="G17:G27" si="1">G16+E17-F17</f>
        <v>56.5</v>
      </c>
      <c r="H17" s="59"/>
    </row>
    <row r="18" spans="1:8" x14ac:dyDescent="0.25">
      <c r="A18" s="59"/>
      <c r="B18" s="59"/>
      <c r="C18" s="59"/>
      <c r="D18" s="59"/>
      <c r="E18" s="62"/>
      <c r="F18" s="62"/>
      <c r="G18" s="62">
        <f t="shared" si="1"/>
        <v>56.5</v>
      </c>
      <c r="H18" s="59"/>
    </row>
    <row r="19" spans="1:8" x14ac:dyDescent="0.25">
      <c r="A19" s="59"/>
      <c r="B19" s="59"/>
      <c r="C19" s="59"/>
      <c r="D19" s="59"/>
      <c r="E19" s="62"/>
      <c r="F19" s="62"/>
      <c r="G19" s="62">
        <f t="shared" si="1"/>
        <v>56.5</v>
      </c>
      <c r="H19" s="59"/>
    </row>
    <row r="20" spans="1:8" x14ac:dyDescent="0.25">
      <c r="A20" s="59"/>
      <c r="B20" s="59"/>
      <c r="C20" s="59"/>
      <c r="D20" s="59"/>
      <c r="E20" s="62"/>
      <c r="F20" s="62"/>
      <c r="G20" s="62">
        <f t="shared" si="1"/>
        <v>56.5</v>
      </c>
      <c r="H20" s="59"/>
    </row>
    <row r="21" spans="1:8" x14ac:dyDescent="0.25">
      <c r="A21" s="59"/>
      <c r="B21" s="59"/>
      <c r="C21" s="59"/>
      <c r="D21" s="59"/>
      <c r="E21" s="62"/>
      <c r="F21" s="62"/>
      <c r="G21" s="62">
        <f t="shared" si="1"/>
        <v>56.5</v>
      </c>
      <c r="H21" s="59"/>
    </row>
    <row r="22" spans="1:8" x14ac:dyDescent="0.25">
      <c r="A22" s="59"/>
      <c r="B22" s="59"/>
      <c r="C22" s="59"/>
      <c r="D22" s="59"/>
      <c r="E22" s="62"/>
      <c r="F22" s="62"/>
      <c r="G22" s="62">
        <f t="shared" si="1"/>
        <v>56.5</v>
      </c>
      <c r="H22" s="59"/>
    </row>
    <row r="23" spans="1:8" x14ac:dyDescent="0.25">
      <c r="A23" s="59"/>
      <c r="B23" s="59"/>
      <c r="C23" s="59"/>
      <c r="D23" s="59"/>
      <c r="E23" s="62"/>
      <c r="F23" s="62"/>
      <c r="G23" s="62">
        <f t="shared" si="1"/>
        <v>56.5</v>
      </c>
      <c r="H23" s="59"/>
    </row>
    <row r="24" spans="1:8" x14ac:dyDescent="0.25">
      <c r="A24" s="59"/>
      <c r="B24" s="59"/>
      <c r="C24" s="59"/>
      <c r="D24" s="59"/>
      <c r="E24" s="62"/>
      <c r="F24" s="62"/>
      <c r="G24" s="62">
        <f t="shared" si="1"/>
        <v>56.5</v>
      </c>
      <c r="H24" s="59"/>
    </row>
    <row r="25" spans="1:8" x14ac:dyDescent="0.25">
      <c r="A25" s="59"/>
      <c r="B25" s="59"/>
      <c r="C25" s="59"/>
      <c r="D25" s="59"/>
      <c r="E25" s="62"/>
      <c r="F25" s="62"/>
      <c r="G25" s="62">
        <f t="shared" si="1"/>
        <v>56.5</v>
      </c>
      <c r="H25" s="59"/>
    </row>
    <row r="26" spans="1:8" x14ac:dyDescent="0.25">
      <c r="A26" s="59"/>
      <c r="B26" s="59"/>
      <c r="C26" s="59"/>
      <c r="D26" s="59"/>
      <c r="E26" s="62"/>
      <c r="F26" s="62"/>
      <c r="G26" s="62">
        <f t="shared" si="1"/>
        <v>56.5</v>
      </c>
      <c r="H26" s="59"/>
    </row>
    <row r="27" spans="1:8" x14ac:dyDescent="0.25">
      <c r="A27" s="59"/>
      <c r="B27" s="59"/>
      <c r="C27" s="59"/>
      <c r="D27" s="59"/>
      <c r="E27" s="62"/>
      <c r="F27" s="62"/>
      <c r="G27" s="62">
        <f t="shared" si="1"/>
        <v>56.5</v>
      </c>
      <c r="H27" s="59"/>
    </row>
    <row r="28" spans="1:8" x14ac:dyDescent="0.25">
      <c r="A28" s="59"/>
      <c r="B28" s="59"/>
      <c r="C28" s="59"/>
      <c r="D28" s="59"/>
      <c r="E28" s="62"/>
      <c r="F28" s="62"/>
      <c r="G28" s="62">
        <f t="shared" ref="G28:G32" si="2">G27+E28-F28</f>
        <v>56.5</v>
      </c>
      <c r="H28" s="59"/>
    </row>
    <row r="29" spans="1:8" x14ac:dyDescent="0.25">
      <c r="A29" s="59"/>
      <c r="B29" s="59"/>
      <c r="C29" s="59"/>
      <c r="D29" s="59"/>
      <c r="E29" s="62"/>
      <c r="F29" s="62"/>
      <c r="G29" s="62">
        <f t="shared" si="2"/>
        <v>56.5</v>
      </c>
      <c r="H29" s="59"/>
    </row>
    <row r="30" spans="1:8" x14ac:dyDescent="0.25">
      <c r="A30" s="59"/>
      <c r="B30" s="59"/>
      <c r="C30" s="59"/>
      <c r="D30" s="59"/>
      <c r="E30" s="62"/>
      <c r="F30" s="62"/>
      <c r="G30" s="62">
        <f t="shared" si="2"/>
        <v>56.5</v>
      </c>
      <c r="H30" s="59"/>
    </row>
    <row r="31" spans="1:8" x14ac:dyDescent="0.25">
      <c r="A31" s="59"/>
      <c r="B31" s="59"/>
      <c r="C31" s="59"/>
      <c r="D31" s="59"/>
      <c r="E31" s="62"/>
      <c r="F31" s="62"/>
      <c r="G31" s="62">
        <f t="shared" si="2"/>
        <v>56.5</v>
      </c>
      <c r="H31" s="59"/>
    </row>
    <row r="32" spans="1:8" x14ac:dyDescent="0.25">
      <c r="A32" s="59"/>
      <c r="B32" s="59"/>
      <c r="C32" s="59"/>
      <c r="D32" s="59"/>
      <c r="E32" s="62"/>
      <c r="F32" s="62"/>
      <c r="G32" s="62">
        <f t="shared" si="2"/>
        <v>56.5</v>
      </c>
      <c r="H32" s="5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pane ySplit="2280" topLeftCell="A13" activePane="bottomLeft"/>
      <selection activeCell="E1" sqref="E1:G1048576"/>
      <selection pane="bottomLeft" activeCell="G35" sqref="G35"/>
    </sheetView>
  </sheetViews>
  <sheetFormatPr defaultRowHeight="16.5" x14ac:dyDescent="0.25"/>
  <cols>
    <col min="1" max="1" width="12.42578125" style="57" bestFit="1" customWidth="1"/>
    <col min="2" max="2" width="9.42578125" style="57" bestFit="1" customWidth="1"/>
    <col min="3" max="3" width="9.140625" style="57"/>
    <col min="4" max="4" width="23.140625" style="57" customWidth="1"/>
    <col min="5" max="7" width="10" style="61" bestFit="1" customWidth="1"/>
    <col min="8" max="16384" width="9.140625" style="57"/>
  </cols>
  <sheetData>
    <row r="1" spans="1:8" x14ac:dyDescent="0.25">
      <c r="A1" s="57" t="s">
        <v>0</v>
      </c>
    </row>
    <row r="2" spans="1:8" x14ac:dyDescent="0.25">
      <c r="A2" s="57" t="s">
        <v>1</v>
      </c>
    </row>
    <row r="3" spans="1:8" x14ac:dyDescent="0.25">
      <c r="A3" s="57" t="s">
        <v>2</v>
      </c>
    </row>
    <row r="4" spans="1:8" x14ac:dyDescent="0.25">
      <c r="A4" s="58" t="s">
        <v>39</v>
      </c>
      <c r="B4" s="58"/>
    </row>
    <row r="6" spans="1:8" x14ac:dyDescent="0.25">
      <c r="A6" s="68" t="s">
        <v>4</v>
      </c>
      <c r="B6" s="59" t="s">
        <v>6</v>
      </c>
      <c r="C6" s="59" t="s">
        <v>5</v>
      </c>
      <c r="D6" s="59" t="s">
        <v>7</v>
      </c>
      <c r="E6" s="62" t="s">
        <v>8</v>
      </c>
      <c r="F6" s="62" t="s">
        <v>9</v>
      </c>
      <c r="G6" s="62" t="s">
        <v>10</v>
      </c>
      <c r="H6" s="59" t="s">
        <v>11</v>
      </c>
    </row>
    <row r="7" spans="1:8" x14ac:dyDescent="0.25">
      <c r="A7" s="68">
        <v>45809</v>
      </c>
      <c r="B7" s="59"/>
      <c r="C7" s="59"/>
      <c r="D7" s="59" t="s">
        <v>35</v>
      </c>
      <c r="E7" s="62"/>
      <c r="F7" s="62"/>
      <c r="G7" s="62">
        <v>185</v>
      </c>
      <c r="H7" s="59"/>
    </row>
    <row r="8" spans="1:8" x14ac:dyDescent="0.25">
      <c r="A8" s="68">
        <v>45828</v>
      </c>
      <c r="B8" s="59"/>
      <c r="C8" s="59"/>
      <c r="D8" s="59" t="s">
        <v>38</v>
      </c>
      <c r="E8" s="62"/>
      <c r="F8" s="62">
        <v>20</v>
      </c>
      <c r="G8" s="62">
        <f>G7+E8-F8</f>
        <v>165</v>
      </c>
      <c r="H8" s="59"/>
    </row>
    <row r="9" spans="1:8" x14ac:dyDescent="0.25">
      <c r="A9" s="68">
        <v>45860</v>
      </c>
      <c r="B9" s="59"/>
      <c r="C9" s="59"/>
      <c r="D9" s="59" t="s">
        <v>61</v>
      </c>
      <c r="E9" s="62"/>
      <c r="F9" s="62">
        <v>22</v>
      </c>
      <c r="G9" s="62">
        <f t="shared" ref="G9:G16" si="0">G8+E9-F9</f>
        <v>143</v>
      </c>
      <c r="H9" s="59"/>
    </row>
    <row r="10" spans="1:8" x14ac:dyDescent="0.25">
      <c r="A10" s="71">
        <v>45867</v>
      </c>
      <c r="B10" s="72"/>
      <c r="C10" s="72"/>
      <c r="D10" s="72" t="s">
        <v>103</v>
      </c>
      <c r="E10" s="73">
        <v>12</v>
      </c>
      <c r="F10" s="73"/>
      <c r="G10" s="73">
        <f t="shared" si="0"/>
        <v>155</v>
      </c>
      <c r="H10" s="72"/>
    </row>
    <row r="11" spans="1:8" x14ac:dyDescent="0.25">
      <c r="A11" s="68">
        <v>45867</v>
      </c>
      <c r="B11" s="59"/>
      <c r="C11" s="59"/>
      <c r="D11" s="59" t="s">
        <v>38</v>
      </c>
      <c r="E11" s="62"/>
      <c r="F11" s="62">
        <v>155</v>
      </c>
      <c r="G11" s="62">
        <f t="shared" si="0"/>
        <v>0</v>
      </c>
      <c r="H11" s="59"/>
    </row>
    <row r="12" spans="1:8" x14ac:dyDescent="0.25">
      <c r="A12" s="71">
        <v>45867</v>
      </c>
      <c r="B12" s="72"/>
      <c r="C12" s="72"/>
      <c r="D12" s="72" t="s">
        <v>104</v>
      </c>
      <c r="E12" s="73">
        <v>5</v>
      </c>
      <c r="F12" s="73"/>
      <c r="G12" s="73">
        <f t="shared" si="0"/>
        <v>5</v>
      </c>
      <c r="H12" s="72"/>
    </row>
    <row r="13" spans="1:8" x14ac:dyDescent="0.25">
      <c r="A13" s="68">
        <v>45984</v>
      </c>
      <c r="B13" s="59"/>
      <c r="C13" s="59"/>
      <c r="D13" s="59" t="s">
        <v>61</v>
      </c>
      <c r="E13" s="62"/>
      <c r="F13" s="62">
        <v>1</v>
      </c>
      <c r="G13" s="62">
        <f t="shared" si="0"/>
        <v>4</v>
      </c>
      <c r="H13" s="59"/>
    </row>
    <row r="14" spans="1:8" x14ac:dyDescent="0.25">
      <c r="A14" s="68">
        <v>46009</v>
      </c>
      <c r="B14" s="59"/>
      <c r="C14" s="59"/>
      <c r="D14" s="59" t="s">
        <v>95</v>
      </c>
      <c r="E14" s="62"/>
      <c r="F14" s="62">
        <v>4</v>
      </c>
      <c r="G14" s="62">
        <f t="shared" si="0"/>
        <v>0</v>
      </c>
      <c r="H14" s="59"/>
    </row>
    <row r="15" spans="1:8" x14ac:dyDescent="0.25">
      <c r="A15" s="71">
        <v>46066</v>
      </c>
      <c r="B15" s="72">
        <v>142497</v>
      </c>
      <c r="C15" s="72"/>
      <c r="D15" s="72" t="s">
        <v>12</v>
      </c>
      <c r="E15" s="73">
        <v>210</v>
      </c>
      <c r="F15" s="73"/>
      <c r="G15" s="73">
        <f t="shared" si="0"/>
        <v>210</v>
      </c>
      <c r="H15" s="72"/>
    </row>
    <row r="16" spans="1:8" x14ac:dyDescent="0.25">
      <c r="A16" s="68">
        <v>46066</v>
      </c>
      <c r="B16" s="59"/>
      <c r="C16" s="59"/>
      <c r="D16" s="59" t="s">
        <v>315</v>
      </c>
      <c r="E16" s="62"/>
      <c r="F16" s="62">
        <v>20</v>
      </c>
      <c r="G16" s="62">
        <f t="shared" si="0"/>
        <v>190</v>
      </c>
      <c r="H16" s="59"/>
    </row>
    <row r="17" spans="1:8" x14ac:dyDescent="0.25">
      <c r="A17" s="68">
        <v>46069</v>
      </c>
      <c r="B17" s="59"/>
      <c r="C17" s="59"/>
      <c r="D17" s="59" t="s">
        <v>315</v>
      </c>
      <c r="E17" s="62"/>
      <c r="F17" s="62">
        <v>20</v>
      </c>
      <c r="G17" s="62">
        <f t="shared" ref="G17:G32" si="1">G16+E17-F17</f>
        <v>170</v>
      </c>
      <c r="H17" s="59"/>
    </row>
    <row r="18" spans="1:8" x14ac:dyDescent="0.25">
      <c r="A18" s="68">
        <v>46082</v>
      </c>
      <c r="B18" s="59"/>
      <c r="C18" s="59"/>
      <c r="D18" s="59" t="s">
        <v>116</v>
      </c>
      <c r="E18" s="62"/>
      <c r="F18" s="62">
        <v>3</v>
      </c>
      <c r="G18" s="62">
        <f t="shared" si="1"/>
        <v>167</v>
      </c>
      <c r="H18" s="59"/>
    </row>
    <row r="19" spans="1:8" x14ac:dyDescent="0.25">
      <c r="A19" s="68">
        <v>46084</v>
      </c>
      <c r="B19" s="59"/>
      <c r="C19" s="59"/>
      <c r="D19" s="59" t="s">
        <v>38</v>
      </c>
      <c r="E19" s="62"/>
      <c r="F19" s="62">
        <v>50</v>
      </c>
      <c r="G19" s="62">
        <f t="shared" si="1"/>
        <v>117</v>
      </c>
      <c r="H19" s="59" t="s">
        <v>367</v>
      </c>
    </row>
    <row r="20" spans="1:8" x14ac:dyDescent="0.25">
      <c r="A20" s="68">
        <v>46096</v>
      </c>
      <c r="B20" s="59"/>
      <c r="C20" s="59"/>
      <c r="D20" s="59" t="s">
        <v>315</v>
      </c>
      <c r="E20" s="62"/>
      <c r="F20" s="62">
        <v>30</v>
      </c>
      <c r="G20" s="62">
        <f t="shared" si="1"/>
        <v>87</v>
      </c>
      <c r="H20" s="59"/>
    </row>
    <row r="21" spans="1:8" x14ac:dyDescent="0.25">
      <c r="A21" s="68">
        <v>46153</v>
      </c>
      <c r="B21" s="59"/>
      <c r="C21" s="59"/>
      <c r="D21" s="59" t="s">
        <v>510</v>
      </c>
      <c r="E21" s="62"/>
      <c r="F21" s="62">
        <v>44</v>
      </c>
      <c r="G21" s="62">
        <f t="shared" si="1"/>
        <v>43</v>
      </c>
      <c r="H21" s="59"/>
    </row>
    <row r="22" spans="1:8" x14ac:dyDescent="0.25">
      <c r="A22" s="68"/>
      <c r="B22" s="59"/>
      <c r="C22" s="59"/>
      <c r="D22" s="59"/>
      <c r="E22" s="62"/>
      <c r="F22" s="62"/>
      <c r="G22" s="62">
        <f t="shared" si="1"/>
        <v>43</v>
      </c>
      <c r="H22" s="59"/>
    </row>
    <row r="23" spans="1:8" x14ac:dyDescent="0.25">
      <c r="A23" s="68"/>
      <c r="B23" s="59"/>
      <c r="C23" s="59"/>
      <c r="D23" s="59"/>
      <c r="E23" s="62"/>
      <c r="F23" s="62"/>
      <c r="G23" s="62">
        <f t="shared" si="1"/>
        <v>43</v>
      </c>
      <c r="H23" s="59"/>
    </row>
    <row r="24" spans="1:8" x14ac:dyDescent="0.25">
      <c r="A24" s="68"/>
      <c r="B24" s="59"/>
      <c r="C24" s="59"/>
      <c r="D24" s="59"/>
      <c r="E24" s="62"/>
      <c r="F24" s="62"/>
      <c r="G24" s="62">
        <f t="shared" si="1"/>
        <v>43</v>
      </c>
      <c r="H24" s="59"/>
    </row>
    <row r="25" spans="1:8" x14ac:dyDescent="0.25">
      <c r="A25" s="68"/>
      <c r="B25" s="59"/>
      <c r="C25" s="59"/>
      <c r="D25" s="59"/>
      <c r="E25" s="62"/>
      <c r="F25" s="62"/>
      <c r="G25" s="62">
        <f t="shared" si="1"/>
        <v>43</v>
      </c>
      <c r="H25" s="59"/>
    </row>
    <row r="26" spans="1:8" x14ac:dyDescent="0.25">
      <c r="A26" s="68"/>
      <c r="B26" s="59"/>
      <c r="C26" s="59"/>
      <c r="D26" s="59"/>
      <c r="E26" s="62"/>
      <c r="F26" s="62"/>
      <c r="G26" s="62">
        <f t="shared" si="1"/>
        <v>43</v>
      </c>
      <c r="H26" s="59"/>
    </row>
    <row r="27" spans="1:8" x14ac:dyDescent="0.25">
      <c r="A27" s="68"/>
      <c r="B27" s="59"/>
      <c r="C27" s="59"/>
      <c r="D27" s="59"/>
      <c r="E27" s="62"/>
      <c r="F27" s="62"/>
      <c r="G27" s="62">
        <f t="shared" si="1"/>
        <v>43</v>
      </c>
      <c r="H27" s="59"/>
    </row>
    <row r="28" spans="1:8" x14ac:dyDescent="0.25">
      <c r="A28" s="68"/>
      <c r="B28" s="59"/>
      <c r="C28" s="59"/>
      <c r="D28" s="59"/>
      <c r="E28" s="62"/>
      <c r="F28" s="62"/>
      <c r="G28" s="62">
        <f t="shared" si="1"/>
        <v>43</v>
      </c>
      <c r="H28" s="59"/>
    </row>
    <row r="29" spans="1:8" x14ac:dyDescent="0.25">
      <c r="A29" s="68"/>
      <c r="B29" s="59"/>
      <c r="C29" s="59"/>
      <c r="D29" s="59"/>
      <c r="E29" s="62"/>
      <c r="F29" s="62"/>
      <c r="G29" s="62">
        <f t="shared" si="1"/>
        <v>43</v>
      </c>
      <c r="H29" s="59"/>
    </row>
    <row r="30" spans="1:8" x14ac:dyDescent="0.25">
      <c r="A30" s="68"/>
      <c r="B30" s="59"/>
      <c r="C30" s="59"/>
      <c r="D30" s="59"/>
      <c r="E30" s="62"/>
      <c r="F30" s="62"/>
      <c r="G30" s="62">
        <f t="shared" si="1"/>
        <v>43</v>
      </c>
      <c r="H30" s="59"/>
    </row>
    <row r="31" spans="1:8" x14ac:dyDescent="0.25">
      <c r="A31" s="68"/>
      <c r="B31" s="59"/>
      <c r="C31" s="59"/>
      <c r="D31" s="59"/>
      <c r="E31" s="62"/>
      <c r="F31" s="62"/>
      <c r="G31" s="62">
        <f t="shared" si="1"/>
        <v>43</v>
      </c>
      <c r="H31" s="59"/>
    </row>
    <row r="32" spans="1:8" x14ac:dyDescent="0.25">
      <c r="A32" s="59"/>
      <c r="B32" s="59"/>
      <c r="C32" s="59"/>
      <c r="D32" s="59"/>
      <c r="E32" s="62"/>
      <c r="F32" s="62"/>
      <c r="G32" s="62">
        <f t="shared" si="1"/>
        <v>43</v>
      </c>
      <c r="H32" s="59"/>
    </row>
    <row r="33" spans="1:8" x14ac:dyDescent="0.25">
      <c r="A33" s="59"/>
      <c r="B33" s="59"/>
      <c r="C33" s="59"/>
      <c r="D33" s="59"/>
      <c r="E33" s="62"/>
      <c r="F33" s="62"/>
      <c r="G33" s="62">
        <f t="shared" ref="G33:G35" si="2">G32+E33-F33</f>
        <v>43</v>
      </c>
      <c r="H33" s="59"/>
    </row>
    <row r="34" spans="1:8" x14ac:dyDescent="0.25">
      <c r="A34" s="59"/>
      <c r="B34" s="59"/>
      <c r="C34" s="59"/>
      <c r="D34" s="59"/>
      <c r="E34" s="62"/>
      <c r="F34" s="62"/>
      <c r="G34" s="62">
        <f t="shared" si="2"/>
        <v>43</v>
      </c>
      <c r="H34" s="59"/>
    </row>
    <row r="35" spans="1:8" x14ac:dyDescent="0.25">
      <c r="A35" s="59"/>
      <c r="B35" s="59"/>
      <c r="C35" s="59"/>
      <c r="D35" s="59"/>
      <c r="E35" s="62"/>
      <c r="F35" s="62"/>
      <c r="G35" s="62">
        <f t="shared" si="2"/>
        <v>43</v>
      </c>
      <c r="H35" s="5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6"/>
  <sheetViews>
    <sheetView zoomScale="98" zoomScaleNormal="98" workbookViewId="0">
      <pane ySplit="2085" topLeftCell="A286"/>
      <selection activeCell="G1" sqref="G1"/>
      <selection pane="bottomLeft" activeCell="E303" sqref="E303"/>
    </sheetView>
  </sheetViews>
  <sheetFormatPr defaultRowHeight="15" x14ac:dyDescent="0.25"/>
  <cols>
    <col min="1" max="1" width="10.42578125" customWidth="1"/>
    <col min="3" max="3" width="9.140625" customWidth="1"/>
    <col min="4" max="4" width="32.7109375" bestFit="1" customWidth="1"/>
    <col min="5" max="7" width="11.5703125" style="41" bestFit="1" customWidth="1"/>
  </cols>
  <sheetData>
    <row r="1" spans="1:8" s="31" customFormat="1" x14ac:dyDescent="0.25">
      <c r="A1" s="31" t="s">
        <v>0</v>
      </c>
      <c r="E1" s="44"/>
      <c r="F1" s="44"/>
      <c r="G1" s="44"/>
    </row>
    <row r="2" spans="1:8" s="31" customFormat="1" x14ac:dyDescent="0.25">
      <c r="A2" s="31" t="s">
        <v>1</v>
      </c>
      <c r="E2" s="44"/>
      <c r="F2" s="44"/>
      <c r="G2" s="44"/>
    </row>
    <row r="3" spans="1:8" s="31" customFormat="1" x14ac:dyDescent="0.25">
      <c r="A3" s="31" t="s">
        <v>2</v>
      </c>
      <c r="E3" s="44"/>
      <c r="F3" s="44"/>
      <c r="G3" s="44"/>
    </row>
    <row r="4" spans="1:8" s="31" customFormat="1" x14ac:dyDescent="0.25">
      <c r="A4" s="31" t="s">
        <v>126</v>
      </c>
      <c r="E4" s="44"/>
      <c r="F4" s="44"/>
      <c r="G4" s="44"/>
    </row>
    <row r="6" spans="1:8" ht="16.5" x14ac:dyDescent="0.25">
      <c r="A6" s="59" t="s">
        <v>4</v>
      </c>
      <c r="B6" s="59" t="s">
        <v>6</v>
      </c>
      <c r="C6" s="59" t="s">
        <v>5</v>
      </c>
      <c r="D6" s="59" t="s">
        <v>7</v>
      </c>
      <c r="E6" s="62" t="s">
        <v>8</v>
      </c>
      <c r="F6" s="62" t="s">
        <v>9</v>
      </c>
      <c r="G6" s="62" t="s">
        <v>10</v>
      </c>
      <c r="H6" s="59" t="s">
        <v>11</v>
      </c>
    </row>
    <row r="7" spans="1:8" ht="16.5" x14ac:dyDescent="0.25">
      <c r="A7" s="60">
        <v>45809</v>
      </c>
      <c r="B7" s="59"/>
      <c r="C7" s="59"/>
      <c r="D7" s="59" t="s">
        <v>40</v>
      </c>
      <c r="E7" s="62"/>
      <c r="F7" s="62"/>
      <c r="G7" s="62">
        <v>102.5</v>
      </c>
      <c r="H7" s="59"/>
    </row>
    <row r="8" spans="1:8" ht="16.5" x14ac:dyDescent="0.25">
      <c r="A8" s="60">
        <v>45809</v>
      </c>
      <c r="B8" s="59"/>
      <c r="C8" s="59"/>
      <c r="D8" s="59" t="s">
        <v>41</v>
      </c>
      <c r="E8" s="62"/>
      <c r="F8" s="62">
        <v>15</v>
      </c>
      <c r="G8" s="62">
        <f>G7+E8-F8</f>
        <v>87.5</v>
      </c>
      <c r="H8" s="59"/>
    </row>
    <row r="9" spans="1:8" ht="16.5" x14ac:dyDescent="0.25">
      <c r="A9" s="60">
        <v>45810</v>
      </c>
      <c r="B9" s="59"/>
      <c r="C9" s="59"/>
      <c r="D9" s="59" t="s">
        <v>13</v>
      </c>
      <c r="E9" s="62"/>
      <c r="F9" s="62">
        <v>87.5</v>
      </c>
      <c r="G9" s="62">
        <f t="shared" ref="G9:G16" si="0">G8+E9-F9</f>
        <v>0</v>
      </c>
      <c r="H9" s="59"/>
    </row>
    <row r="10" spans="1:8" ht="16.5" x14ac:dyDescent="0.25">
      <c r="A10" s="74">
        <v>45811</v>
      </c>
      <c r="B10" s="72"/>
      <c r="C10" s="72"/>
      <c r="D10" s="72" t="s">
        <v>12</v>
      </c>
      <c r="E10" s="73">
        <v>210</v>
      </c>
      <c r="F10" s="73"/>
      <c r="G10" s="73">
        <f t="shared" si="0"/>
        <v>210</v>
      </c>
      <c r="H10" s="72"/>
    </row>
    <row r="11" spans="1:8" ht="16.5" x14ac:dyDescent="0.25">
      <c r="A11" s="60">
        <v>45811</v>
      </c>
      <c r="B11" s="59">
        <v>1812</v>
      </c>
      <c r="C11" s="59">
        <v>2456</v>
      </c>
      <c r="D11" s="59" t="s">
        <v>42</v>
      </c>
      <c r="E11" s="62"/>
      <c r="F11" s="62">
        <v>100</v>
      </c>
      <c r="G11" s="62">
        <f t="shared" si="0"/>
        <v>110</v>
      </c>
      <c r="H11" s="59"/>
    </row>
    <row r="12" spans="1:8" ht="16.5" x14ac:dyDescent="0.25">
      <c r="A12" s="60">
        <v>45813</v>
      </c>
      <c r="B12" s="59"/>
      <c r="C12" s="59"/>
      <c r="D12" s="59" t="s">
        <v>43</v>
      </c>
      <c r="E12" s="62"/>
      <c r="F12" s="62">
        <v>50</v>
      </c>
      <c r="G12" s="62">
        <f t="shared" si="0"/>
        <v>60</v>
      </c>
      <c r="H12" s="59"/>
    </row>
    <row r="13" spans="1:8" ht="16.5" x14ac:dyDescent="0.25">
      <c r="A13" s="60">
        <v>45814</v>
      </c>
      <c r="B13" s="59">
        <v>4768</v>
      </c>
      <c r="C13" s="59">
        <v>2460</v>
      </c>
      <c r="D13" s="59" t="s">
        <v>52</v>
      </c>
      <c r="E13" s="62"/>
      <c r="F13" s="62">
        <v>10</v>
      </c>
      <c r="G13" s="62">
        <f t="shared" si="0"/>
        <v>50</v>
      </c>
      <c r="H13" s="59"/>
    </row>
    <row r="14" spans="1:8" ht="16.5" x14ac:dyDescent="0.25">
      <c r="A14" s="74">
        <v>45817</v>
      </c>
      <c r="B14" s="72"/>
      <c r="C14" s="72"/>
      <c r="D14" s="72" t="s">
        <v>44</v>
      </c>
      <c r="E14" s="73">
        <v>50</v>
      </c>
      <c r="F14" s="73"/>
      <c r="G14" s="73">
        <f t="shared" si="0"/>
        <v>100</v>
      </c>
      <c r="H14" s="72"/>
    </row>
    <row r="15" spans="1:8" ht="16.5" x14ac:dyDescent="0.25">
      <c r="A15" s="60">
        <v>45820</v>
      </c>
      <c r="B15" s="59"/>
      <c r="C15" s="59"/>
      <c r="D15" s="59" t="s">
        <v>45</v>
      </c>
      <c r="E15" s="62"/>
      <c r="F15" s="62">
        <v>5</v>
      </c>
      <c r="G15" s="62">
        <f t="shared" si="0"/>
        <v>95</v>
      </c>
      <c r="H15" s="59"/>
    </row>
    <row r="16" spans="1:8" ht="16.5" x14ac:dyDescent="0.25">
      <c r="A16" s="60">
        <v>45821</v>
      </c>
      <c r="B16" s="59">
        <v>23932</v>
      </c>
      <c r="C16" s="59">
        <v>2468</v>
      </c>
      <c r="D16" s="59" t="s">
        <v>46</v>
      </c>
      <c r="E16" s="62"/>
      <c r="F16" s="62">
        <v>30</v>
      </c>
      <c r="G16" s="62">
        <f t="shared" si="0"/>
        <v>65</v>
      </c>
      <c r="H16" s="59"/>
    </row>
    <row r="17" spans="1:8" ht="16.5" x14ac:dyDescent="0.25">
      <c r="A17" s="74">
        <v>45822</v>
      </c>
      <c r="B17" s="72"/>
      <c r="C17" s="72"/>
      <c r="D17" s="72" t="s">
        <v>12</v>
      </c>
      <c r="E17" s="73">
        <v>210</v>
      </c>
      <c r="F17" s="73"/>
      <c r="G17" s="73">
        <f t="shared" ref="G17:G22" si="1">G16+E17-F17</f>
        <v>275</v>
      </c>
      <c r="H17" s="59"/>
    </row>
    <row r="18" spans="1:8" ht="16.5" x14ac:dyDescent="0.25">
      <c r="A18" s="60">
        <v>45822</v>
      </c>
      <c r="B18" s="59">
        <v>203319</v>
      </c>
      <c r="C18" s="59">
        <v>2469</v>
      </c>
      <c r="D18" s="59" t="s">
        <v>47</v>
      </c>
      <c r="E18" s="62"/>
      <c r="F18" s="62">
        <v>70</v>
      </c>
      <c r="G18" s="62">
        <f t="shared" si="1"/>
        <v>205</v>
      </c>
      <c r="H18" s="59"/>
    </row>
    <row r="19" spans="1:8" ht="16.5" x14ac:dyDescent="0.25">
      <c r="A19" s="74">
        <v>45824</v>
      </c>
      <c r="B19" s="72"/>
      <c r="C19" s="72"/>
      <c r="D19" s="72" t="s">
        <v>48</v>
      </c>
      <c r="E19" s="73">
        <v>10</v>
      </c>
      <c r="F19" s="73"/>
      <c r="G19" s="73">
        <f t="shared" si="1"/>
        <v>215</v>
      </c>
      <c r="H19" s="72"/>
    </row>
    <row r="20" spans="1:8" ht="16.5" x14ac:dyDescent="0.25">
      <c r="A20" s="60">
        <v>45824</v>
      </c>
      <c r="B20" s="59">
        <v>21019</v>
      </c>
      <c r="C20" s="59">
        <v>2471</v>
      </c>
      <c r="D20" s="59" t="s">
        <v>49</v>
      </c>
      <c r="E20" s="62"/>
      <c r="F20" s="62">
        <v>10</v>
      </c>
      <c r="G20" s="62">
        <f t="shared" si="1"/>
        <v>205</v>
      </c>
      <c r="H20" s="59"/>
    </row>
    <row r="21" spans="1:8" ht="16.5" x14ac:dyDescent="0.25">
      <c r="A21" s="60">
        <v>45825</v>
      </c>
      <c r="B21" s="59">
        <v>112799</v>
      </c>
      <c r="C21" s="59">
        <v>2474</v>
      </c>
      <c r="D21" s="59" t="s">
        <v>50</v>
      </c>
      <c r="E21" s="62"/>
      <c r="F21" s="62">
        <v>70</v>
      </c>
      <c r="G21" s="62">
        <f t="shared" si="1"/>
        <v>135</v>
      </c>
      <c r="H21" s="59"/>
    </row>
    <row r="22" spans="1:8" ht="16.5" x14ac:dyDescent="0.25">
      <c r="A22" s="60">
        <v>45827</v>
      </c>
      <c r="B22" s="59">
        <v>2394</v>
      </c>
      <c r="C22" s="59">
        <v>2478</v>
      </c>
      <c r="D22" s="59" t="s">
        <v>46</v>
      </c>
      <c r="E22" s="62"/>
      <c r="F22" s="62">
        <v>20</v>
      </c>
      <c r="G22" s="62">
        <f t="shared" si="1"/>
        <v>115</v>
      </c>
      <c r="H22" s="59"/>
    </row>
    <row r="23" spans="1:8" ht="16.5" x14ac:dyDescent="0.25">
      <c r="A23" s="60">
        <v>45827</v>
      </c>
      <c r="B23" s="59"/>
      <c r="C23" s="59"/>
      <c r="D23" s="59" t="s">
        <v>49</v>
      </c>
      <c r="E23" s="62"/>
      <c r="F23" s="62">
        <v>10</v>
      </c>
      <c r="G23" s="62">
        <f t="shared" ref="G23:G29" si="2">G22+E23-F23</f>
        <v>105</v>
      </c>
      <c r="H23" s="59"/>
    </row>
    <row r="24" spans="1:8" ht="16.5" x14ac:dyDescent="0.25">
      <c r="A24" s="60">
        <v>45828</v>
      </c>
      <c r="B24" s="59"/>
      <c r="C24" s="59"/>
      <c r="D24" s="59" t="s">
        <v>13</v>
      </c>
      <c r="E24" s="62"/>
      <c r="F24" s="62">
        <v>15</v>
      </c>
      <c r="G24" s="62">
        <f t="shared" si="2"/>
        <v>90</v>
      </c>
      <c r="H24" s="59"/>
    </row>
    <row r="25" spans="1:8" ht="16.5" x14ac:dyDescent="0.25">
      <c r="A25" s="60">
        <v>45828</v>
      </c>
      <c r="B25" s="59"/>
      <c r="C25" s="59"/>
      <c r="D25" s="59" t="s">
        <v>51</v>
      </c>
      <c r="E25" s="62"/>
      <c r="F25" s="62">
        <v>10</v>
      </c>
      <c r="G25" s="62">
        <f t="shared" si="2"/>
        <v>80</v>
      </c>
      <c r="H25" s="59"/>
    </row>
    <row r="26" spans="1:8" ht="16.5" x14ac:dyDescent="0.25">
      <c r="A26" s="60">
        <v>45829</v>
      </c>
      <c r="B26" s="59">
        <v>180211</v>
      </c>
      <c r="C26" s="59">
        <v>2484</v>
      </c>
      <c r="D26" s="59" t="s">
        <v>105</v>
      </c>
      <c r="E26" s="62"/>
      <c r="F26" s="62">
        <v>15</v>
      </c>
      <c r="G26" s="62">
        <f t="shared" si="2"/>
        <v>65</v>
      </c>
      <c r="H26" s="59"/>
    </row>
    <row r="27" spans="1:8" ht="16.5" x14ac:dyDescent="0.25">
      <c r="A27" s="74">
        <v>45830</v>
      </c>
      <c r="B27" s="72">
        <v>7313</v>
      </c>
      <c r="C27" s="72"/>
      <c r="D27" s="72" t="s">
        <v>12</v>
      </c>
      <c r="E27" s="73">
        <v>210</v>
      </c>
      <c r="F27" s="73"/>
      <c r="G27" s="73">
        <f t="shared" si="2"/>
        <v>275</v>
      </c>
      <c r="H27" s="72"/>
    </row>
    <row r="28" spans="1:8" ht="16.5" x14ac:dyDescent="0.25">
      <c r="A28" s="60">
        <v>45830</v>
      </c>
      <c r="B28" s="59"/>
      <c r="C28" s="59"/>
      <c r="D28" s="59" t="s">
        <v>106</v>
      </c>
      <c r="E28" s="62"/>
      <c r="F28" s="62">
        <v>20</v>
      </c>
      <c r="G28" s="62">
        <f t="shared" si="2"/>
        <v>255</v>
      </c>
      <c r="H28" s="59"/>
    </row>
    <row r="29" spans="1:8" ht="16.5" x14ac:dyDescent="0.25">
      <c r="A29" s="60">
        <v>45831</v>
      </c>
      <c r="B29" s="59"/>
      <c r="C29" s="59"/>
      <c r="D29" s="59" t="s">
        <v>51</v>
      </c>
      <c r="E29" s="62"/>
      <c r="F29" s="62">
        <v>5</v>
      </c>
      <c r="G29" s="62">
        <f t="shared" si="2"/>
        <v>250</v>
      </c>
      <c r="H29" s="59"/>
    </row>
    <row r="30" spans="1:8" ht="16.5" x14ac:dyDescent="0.25">
      <c r="A30" s="60">
        <v>45833</v>
      </c>
      <c r="B30" s="59"/>
      <c r="C30" s="59"/>
      <c r="D30" s="59" t="s">
        <v>93</v>
      </c>
      <c r="E30" s="62"/>
      <c r="F30" s="62">
        <v>10</v>
      </c>
      <c r="G30" s="62">
        <f t="shared" ref="G30:G62" si="3">G29+E30-F30</f>
        <v>240</v>
      </c>
      <c r="H30" s="59"/>
    </row>
    <row r="31" spans="1:8" ht="16.5" x14ac:dyDescent="0.25">
      <c r="A31" s="60">
        <v>45834</v>
      </c>
      <c r="B31" s="59"/>
      <c r="C31" s="59"/>
      <c r="D31" s="59" t="s">
        <v>49</v>
      </c>
      <c r="E31" s="62"/>
      <c r="F31" s="62">
        <v>30</v>
      </c>
      <c r="G31" s="62">
        <f t="shared" si="3"/>
        <v>210</v>
      </c>
      <c r="H31" s="59"/>
    </row>
    <row r="32" spans="1:8" ht="16.5" x14ac:dyDescent="0.25">
      <c r="A32" s="60">
        <v>45835</v>
      </c>
      <c r="B32" s="59"/>
      <c r="C32" s="59"/>
      <c r="D32" s="59" t="s">
        <v>107</v>
      </c>
      <c r="E32" s="62"/>
      <c r="F32" s="62">
        <v>15</v>
      </c>
      <c r="G32" s="62">
        <f t="shared" si="3"/>
        <v>195</v>
      </c>
      <c r="H32" s="59"/>
    </row>
    <row r="33" spans="1:8" ht="16.5" x14ac:dyDescent="0.25">
      <c r="A33" s="60">
        <v>45835</v>
      </c>
      <c r="B33" s="59">
        <v>4774</v>
      </c>
      <c r="C33" s="59">
        <v>2493</v>
      </c>
      <c r="D33" s="59" t="s">
        <v>108</v>
      </c>
      <c r="E33" s="62"/>
      <c r="F33" s="62">
        <v>30</v>
      </c>
      <c r="G33" s="62">
        <f t="shared" si="3"/>
        <v>165</v>
      </c>
      <c r="H33" s="59"/>
    </row>
    <row r="34" spans="1:8" ht="16.5" x14ac:dyDescent="0.25">
      <c r="A34" s="60">
        <v>45836</v>
      </c>
      <c r="B34" s="59">
        <v>113602</v>
      </c>
      <c r="C34" s="59">
        <v>2495</v>
      </c>
      <c r="D34" s="59" t="s">
        <v>47</v>
      </c>
      <c r="E34" s="62"/>
      <c r="F34" s="62">
        <v>50</v>
      </c>
      <c r="G34" s="62">
        <f t="shared" si="3"/>
        <v>115</v>
      </c>
      <c r="H34" s="59"/>
    </row>
    <row r="35" spans="1:8" ht="16.5" x14ac:dyDescent="0.25">
      <c r="A35" s="60">
        <v>45836</v>
      </c>
      <c r="B35" s="59"/>
      <c r="C35" s="59"/>
      <c r="D35" s="59" t="s">
        <v>109</v>
      </c>
      <c r="E35" s="62"/>
      <c r="F35" s="62">
        <v>10</v>
      </c>
      <c r="G35" s="62">
        <f t="shared" si="3"/>
        <v>105</v>
      </c>
      <c r="H35" s="59"/>
    </row>
    <row r="36" spans="1:8" ht="16.5" x14ac:dyDescent="0.25">
      <c r="A36" s="60">
        <v>45838</v>
      </c>
      <c r="B36" s="59">
        <v>1876</v>
      </c>
      <c r="C36" s="59">
        <v>31854</v>
      </c>
      <c r="D36" s="59" t="s">
        <v>42</v>
      </c>
      <c r="E36" s="62"/>
      <c r="F36" s="62">
        <v>100</v>
      </c>
      <c r="G36" s="62">
        <f t="shared" si="3"/>
        <v>5</v>
      </c>
      <c r="H36" s="59"/>
    </row>
    <row r="37" spans="1:8" ht="16.5" x14ac:dyDescent="0.25">
      <c r="A37" s="74">
        <v>45840</v>
      </c>
      <c r="B37" s="72">
        <v>7332</v>
      </c>
      <c r="C37" s="72"/>
      <c r="D37" s="72" t="s">
        <v>12</v>
      </c>
      <c r="E37" s="73">
        <v>210</v>
      </c>
      <c r="F37" s="73"/>
      <c r="G37" s="73">
        <f t="shared" si="3"/>
        <v>215</v>
      </c>
      <c r="H37" s="72"/>
    </row>
    <row r="38" spans="1:8" ht="16.5" x14ac:dyDescent="0.25">
      <c r="A38" s="60">
        <v>45840</v>
      </c>
      <c r="B38" s="59"/>
      <c r="C38" s="59"/>
      <c r="D38" s="59" t="s">
        <v>51</v>
      </c>
      <c r="E38" s="62"/>
      <c r="F38" s="62">
        <v>3</v>
      </c>
      <c r="G38" s="62">
        <f t="shared" si="3"/>
        <v>212</v>
      </c>
      <c r="H38" s="59"/>
    </row>
    <row r="39" spans="1:8" ht="16.5" x14ac:dyDescent="0.25">
      <c r="A39" s="60">
        <v>45841</v>
      </c>
      <c r="B39" s="59"/>
      <c r="C39" s="59"/>
      <c r="D39" s="59" t="s">
        <v>60</v>
      </c>
      <c r="E39" s="62"/>
      <c r="F39" s="62">
        <v>7</v>
      </c>
      <c r="G39" s="62">
        <f t="shared" si="3"/>
        <v>205</v>
      </c>
      <c r="H39" s="59"/>
    </row>
    <row r="40" spans="1:8" ht="16.5" x14ac:dyDescent="0.25">
      <c r="A40" s="60">
        <v>45842</v>
      </c>
      <c r="B40" s="59"/>
      <c r="C40" s="59"/>
      <c r="D40" s="59" t="s">
        <v>49</v>
      </c>
      <c r="E40" s="62"/>
      <c r="F40" s="62">
        <v>1</v>
      </c>
      <c r="G40" s="62">
        <f t="shared" si="3"/>
        <v>204</v>
      </c>
      <c r="H40" s="59"/>
    </row>
    <row r="41" spans="1:8" ht="16.5" x14ac:dyDescent="0.25">
      <c r="A41" s="60">
        <v>45842</v>
      </c>
      <c r="B41" s="59"/>
      <c r="C41" s="59"/>
      <c r="D41" s="59" t="s">
        <v>110</v>
      </c>
      <c r="E41" s="62"/>
      <c r="F41" s="62">
        <v>45</v>
      </c>
      <c r="G41" s="62">
        <f t="shared" si="3"/>
        <v>159</v>
      </c>
      <c r="H41" s="59"/>
    </row>
    <row r="42" spans="1:8" ht="16.5" x14ac:dyDescent="0.25">
      <c r="A42" s="60">
        <v>45842</v>
      </c>
      <c r="B42" s="59"/>
      <c r="C42" s="59"/>
      <c r="D42" s="59" t="s">
        <v>111</v>
      </c>
      <c r="E42" s="62"/>
      <c r="F42" s="62">
        <v>100</v>
      </c>
      <c r="G42" s="62">
        <f t="shared" si="3"/>
        <v>59</v>
      </c>
      <c r="H42" s="59"/>
    </row>
    <row r="43" spans="1:8" ht="16.5" x14ac:dyDescent="0.25">
      <c r="A43" s="60">
        <v>45844</v>
      </c>
      <c r="B43" s="59"/>
      <c r="C43" s="59"/>
      <c r="D43" s="59" t="s">
        <v>112</v>
      </c>
      <c r="E43" s="62"/>
      <c r="F43" s="62">
        <v>20</v>
      </c>
      <c r="G43" s="62">
        <f t="shared" si="3"/>
        <v>39</v>
      </c>
      <c r="H43" s="59"/>
    </row>
    <row r="44" spans="1:8" ht="16.5" x14ac:dyDescent="0.25">
      <c r="A44" s="60">
        <v>45845</v>
      </c>
      <c r="B44" s="59"/>
      <c r="C44" s="59"/>
      <c r="D44" s="59" t="s">
        <v>67</v>
      </c>
      <c r="E44" s="62"/>
      <c r="F44" s="62">
        <v>4</v>
      </c>
      <c r="G44" s="62">
        <f t="shared" si="3"/>
        <v>35</v>
      </c>
      <c r="H44" s="59"/>
    </row>
    <row r="45" spans="1:8" ht="16.5" x14ac:dyDescent="0.25">
      <c r="A45" s="60">
        <v>45845</v>
      </c>
      <c r="B45" s="59"/>
      <c r="C45" s="59">
        <v>31865</v>
      </c>
      <c r="D45" s="59" t="s">
        <v>46</v>
      </c>
      <c r="E45" s="62"/>
      <c r="F45" s="62">
        <v>20</v>
      </c>
      <c r="G45" s="62">
        <f t="shared" si="3"/>
        <v>15</v>
      </c>
      <c r="H45" s="59"/>
    </row>
    <row r="46" spans="1:8" ht="16.5" x14ac:dyDescent="0.25">
      <c r="A46" s="74">
        <v>45847</v>
      </c>
      <c r="B46" s="72">
        <v>7341</v>
      </c>
      <c r="C46" s="72"/>
      <c r="D46" s="72" t="s">
        <v>12</v>
      </c>
      <c r="E46" s="73">
        <v>210</v>
      </c>
      <c r="F46" s="73"/>
      <c r="G46" s="73">
        <f t="shared" si="3"/>
        <v>225</v>
      </c>
      <c r="H46" s="72"/>
    </row>
    <row r="47" spans="1:8" ht="16.5" x14ac:dyDescent="0.25">
      <c r="A47" s="60">
        <v>45847</v>
      </c>
      <c r="B47" s="59"/>
      <c r="C47" s="59"/>
      <c r="D47" s="59" t="s">
        <v>113</v>
      </c>
      <c r="E47" s="62"/>
      <c r="F47" s="62">
        <v>70</v>
      </c>
      <c r="G47" s="62">
        <f t="shared" si="3"/>
        <v>155</v>
      </c>
      <c r="H47" s="59"/>
    </row>
    <row r="48" spans="1:8" ht="16.5" x14ac:dyDescent="0.25">
      <c r="A48" s="60">
        <v>45848</v>
      </c>
      <c r="B48" s="59">
        <v>13265</v>
      </c>
      <c r="C48" s="59">
        <v>31871</v>
      </c>
      <c r="D48" s="59" t="s">
        <v>50</v>
      </c>
      <c r="E48" s="62"/>
      <c r="F48" s="62">
        <v>50</v>
      </c>
      <c r="G48" s="62">
        <f t="shared" si="3"/>
        <v>105</v>
      </c>
      <c r="H48" s="59"/>
    </row>
    <row r="49" spans="1:8" ht="16.5" x14ac:dyDescent="0.25">
      <c r="A49" s="60">
        <v>45851</v>
      </c>
      <c r="B49" s="59">
        <v>113614</v>
      </c>
      <c r="C49" s="59">
        <v>31877</v>
      </c>
      <c r="D49" s="59" t="s">
        <v>47</v>
      </c>
      <c r="E49" s="62"/>
      <c r="F49" s="62">
        <v>100</v>
      </c>
      <c r="G49" s="62">
        <f t="shared" si="3"/>
        <v>5</v>
      </c>
      <c r="H49" s="59"/>
    </row>
    <row r="50" spans="1:8" ht="16.5" x14ac:dyDescent="0.25">
      <c r="A50" s="74">
        <v>45851</v>
      </c>
      <c r="B50" s="72">
        <v>7343</v>
      </c>
      <c r="C50" s="72"/>
      <c r="D50" s="72" t="s">
        <v>12</v>
      </c>
      <c r="E50" s="73">
        <v>210</v>
      </c>
      <c r="F50" s="73"/>
      <c r="G50" s="73">
        <f t="shared" si="3"/>
        <v>215</v>
      </c>
      <c r="H50" s="72"/>
    </row>
    <row r="51" spans="1:8" ht="16.5" x14ac:dyDescent="0.25">
      <c r="A51" s="60">
        <v>45851</v>
      </c>
      <c r="B51" s="59"/>
      <c r="C51" s="59"/>
      <c r="D51" s="59" t="s">
        <v>63</v>
      </c>
      <c r="E51" s="62"/>
      <c r="F51" s="62">
        <v>10</v>
      </c>
      <c r="G51" s="62">
        <f t="shared" si="3"/>
        <v>205</v>
      </c>
      <c r="H51" s="59"/>
    </row>
    <row r="52" spans="1:8" ht="16.5" x14ac:dyDescent="0.25">
      <c r="A52" s="60">
        <v>45852</v>
      </c>
      <c r="B52" s="59"/>
      <c r="C52" s="59"/>
      <c r="D52" s="59" t="s">
        <v>13</v>
      </c>
      <c r="E52" s="62"/>
      <c r="F52" s="62">
        <v>60</v>
      </c>
      <c r="G52" s="62">
        <f t="shared" si="3"/>
        <v>145</v>
      </c>
      <c r="H52" s="59"/>
    </row>
    <row r="53" spans="1:8" ht="16.5" x14ac:dyDescent="0.25">
      <c r="A53" s="60">
        <v>45855</v>
      </c>
      <c r="B53" s="59">
        <v>1936</v>
      </c>
      <c r="C53" s="59">
        <v>31885</v>
      </c>
      <c r="D53" s="59" t="s">
        <v>42</v>
      </c>
      <c r="E53" s="62"/>
      <c r="F53" s="62">
        <v>60</v>
      </c>
      <c r="G53" s="62">
        <f t="shared" si="3"/>
        <v>85</v>
      </c>
      <c r="H53" s="59"/>
    </row>
    <row r="54" spans="1:8" ht="16.5" x14ac:dyDescent="0.25">
      <c r="A54" s="60">
        <v>45855</v>
      </c>
      <c r="B54" s="59"/>
      <c r="C54" s="59"/>
      <c r="D54" s="59" t="s">
        <v>114</v>
      </c>
      <c r="E54" s="62"/>
      <c r="F54" s="62">
        <v>10</v>
      </c>
      <c r="G54" s="62">
        <f t="shared" si="3"/>
        <v>75</v>
      </c>
      <c r="H54" s="59"/>
    </row>
    <row r="55" spans="1:8" ht="16.5" x14ac:dyDescent="0.25">
      <c r="A55" s="60">
        <v>45856</v>
      </c>
      <c r="B55" s="59"/>
      <c r="C55" s="59"/>
      <c r="D55" s="59" t="s">
        <v>115</v>
      </c>
      <c r="E55" s="62"/>
      <c r="F55" s="62">
        <v>1</v>
      </c>
      <c r="G55" s="62">
        <f t="shared" si="3"/>
        <v>74</v>
      </c>
      <c r="H55" s="59"/>
    </row>
    <row r="56" spans="1:8" ht="16.5" x14ac:dyDescent="0.25">
      <c r="A56" s="60">
        <v>45856</v>
      </c>
      <c r="B56" s="59"/>
      <c r="C56" s="59"/>
      <c r="D56" s="59" t="s">
        <v>76</v>
      </c>
      <c r="E56" s="62"/>
      <c r="F56" s="62">
        <v>40</v>
      </c>
      <c r="G56" s="62">
        <f t="shared" si="3"/>
        <v>34</v>
      </c>
      <c r="H56" s="59"/>
    </row>
    <row r="57" spans="1:8" ht="16.5" x14ac:dyDescent="0.25">
      <c r="A57" s="60">
        <v>45859</v>
      </c>
      <c r="B57" s="59"/>
      <c r="C57" s="59"/>
      <c r="D57" s="59" t="s">
        <v>66</v>
      </c>
      <c r="E57" s="62"/>
      <c r="F57" s="62">
        <v>20</v>
      </c>
      <c r="G57" s="62">
        <f t="shared" si="3"/>
        <v>14</v>
      </c>
      <c r="H57" s="59"/>
    </row>
    <row r="58" spans="1:8" ht="16.5" x14ac:dyDescent="0.25">
      <c r="A58" s="60">
        <v>45860</v>
      </c>
      <c r="B58" s="59"/>
      <c r="C58" s="59"/>
      <c r="D58" s="59" t="s">
        <v>116</v>
      </c>
      <c r="E58" s="62"/>
      <c r="F58" s="62">
        <v>5</v>
      </c>
      <c r="G58" s="62">
        <f t="shared" si="3"/>
        <v>9</v>
      </c>
      <c r="H58" s="59"/>
    </row>
    <row r="59" spans="1:8" ht="16.5" x14ac:dyDescent="0.25">
      <c r="A59" s="74">
        <v>45860</v>
      </c>
      <c r="B59" s="72">
        <v>174501</v>
      </c>
      <c r="C59" s="72"/>
      <c r="D59" s="72" t="s">
        <v>12</v>
      </c>
      <c r="E59" s="73">
        <v>210</v>
      </c>
      <c r="F59" s="73"/>
      <c r="G59" s="73">
        <f t="shared" si="3"/>
        <v>219</v>
      </c>
      <c r="H59" s="72"/>
    </row>
    <row r="60" spans="1:8" ht="16.5" x14ac:dyDescent="0.25">
      <c r="A60" s="60">
        <v>45860</v>
      </c>
      <c r="B60" s="59">
        <v>23150</v>
      </c>
      <c r="C60" s="59">
        <v>6401</v>
      </c>
      <c r="D60" s="59" t="s">
        <v>46</v>
      </c>
      <c r="E60" s="62"/>
      <c r="F60" s="62">
        <v>20</v>
      </c>
      <c r="G60" s="62">
        <f t="shared" si="3"/>
        <v>199</v>
      </c>
      <c r="H60" s="59"/>
    </row>
    <row r="61" spans="1:8" ht="16.5" x14ac:dyDescent="0.25">
      <c r="A61" s="60">
        <v>45862</v>
      </c>
      <c r="B61" s="59">
        <v>1947</v>
      </c>
      <c r="C61" s="59">
        <v>6403</v>
      </c>
      <c r="D61" s="59" t="s">
        <v>42</v>
      </c>
      <c r="E61" s="62"/>
      <c r="F61" s="62">
        <v>50</v>
      </c>
      <c r="G61" s="62">
        <f t="shared" si="3"/>
        <v>149</v>
      </c>
      <c r="H61" s="59"/>
    </row>
    <row r="62" spans="1:8" ht="16.5" x14ac:dyDescent="0.25">
      <c r="A62" s="60">
        <v>45863</v>
      </c>
      <c r="B62" s="59"/>
      <c r="C62" s="59"/>
      <c r="D62" s="59" t="s">
        <v>13</v>
      </c>
      <c r="E62" s="62"/>
      <c r="F62" s="62">
        <v>10</v>
      </c>
      <c r="G62" s="62">
        <f t="shared" si="3"/>
        <v>139</v>
      </c>
      <c r="H62" s="59"/>
    </row>
    <row r="63" spans="1:8" ht="16.5" x14ac:dyDescent="0.25">
      <c r="A63" s="60">
        <v>45868</v>
      </c>
      <c r="B63" s="59"/>
      <c r="C63" s="59"/>
      <c r="D63" s="59" t="s">
        <v>71</v>
      </c>
      <c r="E63" s="62"/>
      <c r="F63" s="62">
        <v>40</v>
      </c>
      <c r="G63" s="62">
        <f t="shared" ref="G63:G80" si="4">G62+E63-F63</f>
        <v>99</v>
      </c>
      <c r="H63" s="59"/>
    </row>
    <row r="64" spans="1:8" ht="16.5" x14ac:dyDescent="0.25">
      <c r="A64" s="60">
        <v>45870</v>
      </c>
      <c r="B64" s="59"/>
      <c r="C64" s="59"/>
      <c r="D64" s="59" t="s">
        <v>117</v>
      </c>
      <c r="E64" s="62"/>
      <c r="F64" s="62">
        <v>20</v>
      </c>
      <c r="G64" s="62">
        <f t="shared" si="4"/>
        <v>79</v>
      </c>
      <c r="H64" s="59"/>
    </row>
    <row r="65" spans="1:8" ht="16.5" x14ac:dyDescent="0.25">
      <c r="A65" s="60">
        <v>45873</v>
      </c>
      <c r="B65" s="59"/>
      <c r="C65" s="59">
        <v>6421</v>
      </c>
      <c r="D65" s="59" t="s">
        <v>118</v>
      </c>
      <c r="E65" s="62"/>
      <c r="F65" s="62">
        <v>5</v>
      </c>
      <c r="G65" s="62">
        <f t="shared" si="4"/>
        <v>74</v>
      </c>
      <c r="H65" s="59"/>
    </row>
    <row r="66" spans="1:8" ht="16.5" x14ac:dyDescent="0.25">
      <c r="A66" s="60">
        <v>45873</v>
      </c>
      <c r="B66" s="59"/>
      <c r="C66" s="59"/>
      <c r="D66" s="59" t="s">
        <v>119</v>
      </c>
      <c r="E66" s="62"/>
      <c r="F66" s="62">
        <v>2</v>
      </c>
      <c r="G66" s="62">
        <f t="shared" si="4"/>
        <v>72</v>
      </c>
      <c r="H66" s="59"/>
    </row>
    <row r="67" spans="1:8" ht="16.5" x14ac:dyDescent="0.25">
      <c r="A67" s="74">
        <v>45873</v>
      </c>
      <c r="B67" s="72">
        <v>174524</v>
      </c>
      <c r="C67" s="72"/>
      <c r="D67" s="72" t="s">
        <v>12</v>
      </c>
      <c r="E67" s="73">
        <v>210</v>
      </c>
      <c r="F67" s="73"/>
      <c r="G67" s="73">
        <f t="shared" si="4"/>
        <v>282</v>
      </c>
      <c r="H67" s="72"/>
    </row>
    <row r="68" spans="1:8" ht="16.5" x14ac:dyDescent="0.25">
      <c r="A68" s="60">
        <v>45873</v>
      </c>
      <c r="B68" s="59"/>
      <c r="C68" s="59"/>
      <c r="D68" s="59" t="s">
        <v>13</v>
      </c>
      <c r="E68" s="62"/>
      <c r="F68" s="62">
        <v>210</v>
      </c>
      <c r="G68" s="62">
        <f t="shared" si="4"/>
        <v>72</v>
      </c>
      <c r="H68" s="59"/>
    </row>
    <row r="69" spans="1:8" ht="16.5" x14ac:dyDescent="0.25">
      <c r="A69" s="60">
        <v>45875</v>
      </c>
      <c r="B69" s="59"/>
      <c r="C69" s="59"/>
      <c r="D69" s="59" t="s">
        <v>74</v>
      </c>
      <c r="E69" s="62"/>
      <c r="F69" s="62">
        <v>2</v>
      </c>
      <c r="G69" s="62">
        <f t="shared" si="4"/>
        <v>70</v>
      </c>
      <c r="H69" s="59"/>
    </row>
    <row r="70" spans="1:8" ht="16.5" x14ac:dyDescent="0.25">
      <c r="A70" s="60">
        <v>45875</v>
      </c>
      <c r="B70" s="59">
        <v>4797</v>
      </c>
      <c r="C70" s="59">
        <v>6930</v>
      </c>
      <c r="D70" s="59" t="s">
        <v>108</v>
      </c>
      <c r="E70" s="62"/>
      <c r="F70" s="62">
        <v>20</v>
      </c>
      <c r="G70" s="62">
        <f t="shared" si="4"/>
        <v>50</v>
      </c>
      <c r="H70" s="59"/>
    </row>
    <row r="71" spans="1:8" ht="16.5" x14ac:dyDescent="0.25">
      <c r="A71" s="74">
        <v>45877</v>
      </c>
      <c r="B71" s="72">
        <v>174521</v>
      </c>
      <c r="C71" s="72"/>
      <c r="D71" s="72" t="s">
        <v>12</v>
      </c>
      <c r="E71" s="73">
        <v>210</v>
      </c>
      <c r="F71" s="73"/>
      <c r="G71" s="73">
        <f t="shared" si="4"/>
        <v>260</v>
      </c>
      <c r="H71" s="72"/>
    </row>
    <row r="72" spans="1:8" ht="16.5" x14ac:dyDescent="0.25">
      <c r="A72" s="60">
        <v>45877</v>
      </c>
      <c r="B72" s="59"/>
      <c r="C72" s="59"/>
      <c r="D72" s="59" t="s">
        <v>120</v>
      </c>
      <c r="E72" s="62"/>
      <c r="F72" s="62">
        <v>50</v>
      </c>
      <c r="G72" s="62">
        <f t="shared" si="4"/>
        <v>210</v>
      </c>
      <c r="H72" s="59"/>
    </row>
    <row r="73" spans="1:8" ht="16.5" x14ac:dyDescent="0.25">
      <c r="A73" s="60">
        <v>45877</v>
      </c>
      <c r="B73" s="59"/>
      <c r="C73" s="59"/>
      <c r="D73" s="59" t="s">
        <v>13</v>
      </c>
      <c r="E73" s="62"/>
      <c r="F73" s="62">
        <v>7</v>
      </c>
      <c r="G73" s="62">
        <f t="shared" si="4"/>
        <v>203</v>
      </c>
      <c r="H73" s="59"/>
    </row>
    <row r="74" spans="1:8" ht="16.5" x14ac:dyDescent="0.25">
      <c r="A74" s="60">
        <v>45881</v>
      </c>
      <c r="B74" s="59"/>
      <c r="C74" s="59"/>
      <c r="D74" s="59" t="s">
        <v>76</v>
      </c>
      <c r="E74" s="62"/>
      <c r="F74" s="62">
        <v>25</v>
      </c>
      <c r="G74" s="62">
        <f t="shared" si="4"/>
        <v>178</v>
      </c>
      <c r="H74" s="59"/>
    </row>
    <row r="75" spans="1:8" ht="16.5" x14ac:dyDescent="0.25">
      <c r="A75" s="60">
        <v>45881</v>
      </c>
      <c r="B75" s="59">
        <v>2000</v>
      </c>
      <c r="C75" s="59">
        <v>66405</v>
      </c>
      <c r="D75" s="59" t="s">
        <v>121</v>
      </c>
      <c r="E75" s="62"/>
      <c r="F75" s="62">
        <v>100</v>
      </c>
      <c r="G75" s="62">
        <f t="shared" si="4"/>
        <v>78</v>
      </c>
      <c r="H75" s="59"/>
    </row>
    <row r="76" spans="1:8" ht="16.5" x14ac:dyDescent="0.25">
      <c r="A76" s="74">
        <v>45883</v>
      </c>
      <c r="B76" s="72"/>
      <c r="C76" s="72"/>
      <c r="D76" s="72" t="s">
        <v>12</v>
      </c>
      <c r="E76" s="73">
        <v>210</v>
      </c>
      <c r="F76" s="73"/>
      <c r="G76" s="73">
        <f t="shared" si="4"/>
        <v>288</v>
      </c>
      <c r="H76" s="72"/>
    </row>
    <row r="77" spans="1:8" ht="16.5" x14ac:dyDescent="0.25">
      <c r="A77" s="60">
        <v>45883</v>
      </c>
      <c r="B77" s="59"/>
      <c r="C77" s="59"/>
      <c r="D77" s="59" t="s">
        <v>76</v>
      </c>
      <c r="E77" s="62"/>
      <c r="F77" s="62">
        <v>8</v>
      </c>
      <c r="G77" s="62">
        <f t="shared" si="4"/>
        <v>280</v>
      </c>
      <c r="H77" s="59"/>
    </row>
    <row r="78" spans="1:8" ht="16.5" x14ac:dyDescent="0.25">
      <c r="A78" s="60">
        <v>45883</v>
      </c>
      <c r="B78" s="59">
        <v>76257</v>
      </c>
      <c r="C78" s="59">
        <v>66407</v>
      </c>
      <c r="D78" s="59" t="s">
        <v>88</v>
      </c>
      <c r="E78" s="62"/>
      <c r="F78" s="62">
        <v>65</v>
      </c>
      <c r="G78" s="62">
        <f t="shared" si="4"/>
        <v>215</v>
      </c>
      <c r="H78" s="59"/>
    </row>
    <row r="79" spans="1:8" ht="16.5" x14ac:dyDescent="0.25">
      <c r="A79" s="60">
        <v>45884</v>
      </c>
      <c r="B79" s="59"/>
      <c r="C79" s="59">
        <v>66410</v>
      </c>
      <c r="D79" s="59" t="s">
        <v>118</v>
      </c>
      <c r="E79" s="62"/>
      <c r="F79" s="62">
        <v>5</v>
      </c>
      <c r="G79" s="62">
        <f t="shared" si="4"/>
        <v>210</v>
      </c>
      <c r="H79" s="59"/>
    </row>
    <row r="80" spans="1:8" ht="16.5" x14ac:dyDescent="0.25">
      <c r="A80" s="60">
        <v>45885</v>
      </c>
      <c r="B80" s="59"/>
      <c r="C80" s="59"/>
      <c r="D80" s="59" t="s">
        <v>122</v>
      </c>
      <c r="E80" s="62"/>
      <c r="F80" s="62">
        <v>10</v>
      </c>
      <c r="G80" s="62">
        <f t="shared" si="4"/>
        <v>200</v>
      </c>
      <c r="H80" s="59"/>
    </row>
    <row r="81" spans="1:8" ht="16.5" x14ac:dyDescent="0.25">
      <c r="A81" s="60">
        <v>45887</v>
      </c>
      <c r="B81" s="59"/>
      <c r="C81" s="59"/>
      <c r="D81" s="59" t="s">
        <v>123</v>
      </c>
      <c r="E81" s="62"/>
      <c r="F81" s="62">
        <v>5</v>
      </c>
      <c r="G81" s="62">
        <f t="shared" ref="G81:G89" si="5">G80+E81-F81</f>
        <v>195</v>
      </c>
      <c r="H81" s="59"/>
    </row>
    <row r="82" spans="1:8" ht="16.5" x14ac:dyDescent="0.25">
      <c r="A82" s="60">
        <v>45892</v>
      </c>
      <c r="B82" s="59"/>
      <c r="C82" s="59"/>
      <c r="D82" s="59" t="s">
        <v>84</v>
      </c>
      <c r="E82" s="62"/>
      <c r="F82" s="62">
        <v>10</v>
      </c>
      <c r="G82" s="62">
        <f t="shared" si="5"/>
        <v>185</v>
      </c>
      <c r="H82" s="59"/>
    </row>
    <row r="83" spans="1:8" ht="16.5" x14ac:dyDescent="0.25">
      <c r="A83" s="60">
        <v>45892</v>
      </c>
      <c r="B83" s="59"/>
      <c r="C83" s="59"/>
      <c r="D83" s="59" t="s">
        <v>17</v>
      </c>
      <c r="E83" s="62"/>
      <c r="F83" s="62">
        <v>2</v>
      </c>
      <c r="G83" s="62">
        <f t="shared" si="5"/>
        <v>183</v>
      </c>
      <c r="H83" s="59"/>
    </row>
    <row r="84" spans="1:8" ht="16.5" x14ac:dyDescent="0.25">
      <c r="A84" s="60">
        <v>45892</v>
      </c>
      <c r="B84" s="59">
        <v>113122</v>
      </c>
      <c r="C84" s="59">
        <v>66425</v>
      </c>
      <c r="D84" s="59" t="s">
        <v>50</v>
      </c>
      <c r="E84" s="62"/>
      <c r="F84" s="62">
        <v>50</v>
      </c>
      <c r="G84" s="62">
        <f t="shared" si="5"/>
        <v>133</v>
      </c>
      <c r="H84" s="59"/>
    </row>
    <row r="85" spans="1:8" ht="16.5" x14ac:dyDescent="0.25">
      <c r="A85" s="60">
        <v>45894</v>
      </c>
      <c r="B85" s="59">
        <v>172709</v>
      </c>
      <c r="C85" s="59">
        <v>66430</v>
      </c>
      <c r="D85" s="59" t="s">
        <v>47</v>
      </c>
      <c r="E85" s="62"/>
      <c r="F85" s="62">
        <v>50</v>
      </c>
      <c r="G85" s="62">
        <f t="shared" si="5"/>
        <v>83</v>
      </c>
      <c r="H85" s="59"/>
    </row>
    <row r="86" spans="1:8" ht="16.5" x14ac:dyDescent="0.25">
      <c r="A86" s="60">
        <v>45896</v>
      </c>
      <c r="B86" s="59">
        <v>13265</v>
      </c>
      <c r="C86" s="59">
        <v>66438</v>
      </c>
      <c r="D86" s="59" t="s">
        <v>50</v>
      </c>
      <c r="E86" s="62"/>
      <c r="F86" s="62">
        <v>50</v>
      </c>
      <c r="G86" s="62">
        <f t="shared" si="5"/>
        <v>33</v>
      </c>
      <c r="H86" s="59"/>
    </row>
    <row r="87" spans="1:8" ht="16.5" x14ac:dyDescent="0.25">
      <c r="A87" s="74">
        <v>45896</v>
      </c>
      <c r="B87" s="72">
        <v>174541</v>
      </c>
      <c r="C87" s="72"/>
      <c r="D87" s="72" t="s">
        <v>12</v>
      </c>
      <c r="E87" s="73">
        <v>210</v>
      </c>
      <c r="F87" s="73"/>
      <c r="G87" s="73">
        <f t="shared" si="5"/>
        <v>243</v>
      </c>
      <c r="H87" s="72"/>
    </row>
    <row r="88" spans="1:8" ht="16.5" x14ac:dyDescent="0.25">
      <c r="A88" s="75">
        <v>45896</v>
      </c>
      <c r="B88" s="59">
        <v>206108</v>
      </c>
      <c r="C88" s="59">
        <v>66439</v>
      </c>
      <c r="D88" s="59" t="s">
        <v>46</v>
      </c>
      <c r="E88" s="62"/>
      <c r="F88" s="62">
        <v>30</v>
      </c>
      <c r="G88" s="62">
        <f t="shared" si="5"/>
        <v>213</v>
      </c>
      <c r="H88" s="59"/>
    </row>
    <row r="89" spans="1:8" ht="16.5" x14ac:dyDescent="0.25">
      <c r="A89" s="75">
        <v>45897</v>
      </c>
      <c r="B89" s="59">
        <v>113943</v>
      </c>
      <c r="C89" s="59">
        <v>66442</v>
      </c>
      <c r="D89" s="59" t="s">
        <v>66</v>
      </c>
      <c r="E89" s="62"/>
      <c r="F89" s="62">
        <v>50</v>
      </c>
      <c r="G89" s="62">
        <f t="shared" si="5"/>
        <v>163</v>
      </c>
      <c r="H89" s="59"/>
    </row>
    <row r="90" spans="1:8" ht="16.5" x14ac:dyDescent="0.25">
      <c r="A90" s="75">
        <v>45898</v>
      </c>
      <c r="B90" s="59">
        <v>2024</v>
      </c>
      <c r="C90" s="59">
        <v>66445</v>
      </c>
      <c r="D90" s="59" t="s">
        <v>42</v>
      </c>
      <c r="E90" s="62"/>
      <c r="F90" s="62">
        <v>60</v>
      </c>
      <c r="G90" s="62">
        <f t="shared" ref="G90:G96" si="6">G89+E90-F90</f>
        <v>103</v>
      </c>
      <c r="H90" s="59"/>
    </row>
    <row r="91" spans="1:8" ht="16.5" x14ac:dyDescent="0.25">
      <c r="A91" s="60">
        <v>45899</v>
      </c>
      <c r="B91" s="59">
        <v>2013</v>
      </c>
      <c r="C91" s="59">
        <v>66</v>
      </c>
      <c r="D91" s="59" t="s">
        <v>121</v>
      </c>
      <c r="E91" s="62"/>
      <c r="F91" s="62">
        <v>100</v>
      </c>
      <c r="G91" s="62">
        <f t="shared" si="6"/>
        <v>3</v>
      </c>
      <c r="H91" s="59"/>
    </row>
    <row r="92" spans="1:8" ht="16.5" x14ac:dyDescent="0.25">
      <c r="A92" s="74">
        <v>45902</v>
      </c>
      <c r="B92" s="72">
        <v>174548</v>
      </c>
      <c r="C92" s="72"/>
      <c r="D92" s="72" t="s">
        <v>12</v>
      </c>
      <c r="E92" s="73">
        <v>210</v>
      </c>
      <c r="F92" s="73"/>
      <c r="G92" s="73">
        <f t="shared" si="6"/>
        <v>213</v>
      </c>
      <c r="H92" s="72"/>
    </row>
    <row r="93" spans="1:8" ht="16.5" x14ac:dyDescent="0.25">
      <c r="A93" s="60">
        <v>45902</v>
      </c>
      <c r="B93" s="59"/>
      <c r="C93" s="59"/>
      <c r="D93" s="59" t="s">
        <v>124</v>
      </c>
      <c r="E93" s="62"/>
      <c r="F93" s="62">
        <v>10</v>
      </c>
      <c r="G93" s="62">
        <f t="shared" si="6"/>
        <v>203</v>
      </c>
      <c r="H93" s="59"/>
    </row>
    <row r="94" spans="1:8" ht="16.5" x14ac:dyDescent="0.25">
      <c r="A94" s="60">
        <v>45903</v>
      </c>
      <c r="B94" s="59">
        <v>66457</v>
      </c>
      <c r="C94" s="59">
        <v>172033</v>
      </c>
      <c r="D94" s="59" t="s">
        <v>117</v>
      </c>
      <c r="E94" s="62"/>
      <c r="F94" s="62">
        <v>10</v>
      </c>
      <c r="G94" s="62">
        <f t="shared" si="6"/>
        <v>193</v>
      </c>
      <c r="H94" s="59"/>
    </row>
    <row r="95" spans="1:8" ht="16.5" x14ac:dyDescent="0.25">
      <c r="A95" s="60">
        <v>45904</v>
      </c>
      <c r="B95" s="59">
        <v>172035</v>
      </c>
      <c r="C95" s="59">
        <v>66460</v>
      </c>
      <c r="D95" s="59" t="s">
        <v>125</v>
      </c>
      <c r="E95" s="62"/>
      <c r="F95" s="62">
        <v>10</v>
      </c>
      <c r="G95" s="62">
        <f t="shared" si="6"/>
        <v>183</v>
      </c>
      <c r="H95" s="59"/>
    </row>
    <row r="96" spans="1:8" ht="16.5" x14ac:dyDescent="0.25">
      <c r="A96" s="60">
        <v>45904</v>
      </c>
      <c r="B96" s="59">
        <v>172035</v>
      </c>
      <c r="C96" s="59">
        <v>66460</v>
      </c>
      <c r="D96" s="59" t="s">
        <v>107</v>
      </c>
      <c r="E96" s="62"/>
      <c r="F96" s="62">
        <v>5</v>
      </c>
      <c r="G96" s="62">
        <f t="shared" si="6"/>
        <v>178</v>
      </c>
      <c r="H96" s="59"/>
    </row>
    <row r="97" spans="1:9" ht="16.5" x14ac:dyDescent="0.25">
      <c r="A97" s="60">
        <v>45904</v>
      </c>
      <c r="B97" s="59">
        <v>113132</v>
      </c>
      <c r="C97" s="59">
        <v>66459</v>
      </c>
      <c r="D97" s="59" t="s">
        <v>50</v>
      </c>
      <c r="E97" s="62"/>
      <c r="F97" s="62">
        <v>50</v>
      </c>
      <c r="G97" s="62">
        <f t="shared" ref="G97:G115" si="7">G96+E97-F97</f>
        <v>128</v>
      </c>
      <c r="H97" s="59"/>
    </row>
    <row r="98" spans="1:9" ht="16.5" x14ac:dyDescent="0.25">
      <c r="A98" s="60">
        <v>45906</v>
      </c>
      <c r="B98" s="59">
        <v>142505</v>
      </c>
      <c r="C98" s="59">
        <v>66463</v>
      </c>
      <c r="D98" s="59" t="s">
        <v>66</v>
      </c>
      <c r="E98" s="62"/>
      <c r="F98" s="62">
        <v>40</v>
      </c>
      <c r="G98" s="62">
        <f t="shared" si="7"/>
        <v>88</v>
      </c>
      <c r="H98" s="59"/>
    </row>
    <row r="99" spans="1:9" ht="16.5" x14ac:dyDescent="0.25">
      <c r="A99" s="60">
        <v>45908</v>
      </c>
      <c r="B99" s="59"/>
      <c r="C99" s="59"/>
      <c r="D99" s="59" t="s">
        <v>128</v>
      </c>
      <c r="E99" s="62"/>
      <c r="F99" s="62">
        <v>10</v>
      </c>
      <c r="G99" s="62">
        <f t="shared" si="7"/>
        <v>78</v>
      </c>
      <c r="H99" s="59"/>
    </row>
    <row r="100" spans="1:9" ht="16.5" x14ac:dyDescent="0.25">
      <c r="A100" s="60">
        <v>45909</v>
      </c>
      <c r="B100" s="59"/>
      <c r="C100" s="59"/>
      <c r="D100" s="59" t="s">
        <v>128</v>
      </c>
      <c r="E100" s="62"/>
      <c r="F100" s="62">
        <v>1</v>
      </c>
      <c r="G100" s="62">
        <f t="shared" si="7"/>
        <v>77</v>
      </c>
      <c r="H100" s="59"/>
    </row>
    <row r="101" spans="1:9" ht="16.5" x14ac:dyDescent="0.25">
      <c r="A101" s="60">
        <v>45912</v>
      </c>
      <c r="B101" s="59"/>
      <c r="C101" s="59"/>
      <c r="D101" s="59" t="s">
        <v>116</v>
      </c>
      <c r="E101" s="62"/>
      <c r="F101" s="62">
        <v>10</v>
      </c>
      <c r="G101" s="62">
        <f t="shared" si="7"/>
        <v>67</v>
      </c>
      <c r="H101" s="59"/>
    </row>
    <row r="102" spans="1:9" ht="16.5" x14ac:dyDescent="0.25">
      <c r="A102" s="60">
        <v>45912</v>
      </c>
      <c r="B102" s="59"/>
      <c r="C102" s="59"/>
      <c r="D102" s="59" t="s">
        <v>107</v>
      </c>
      <c r="E102" s="62"/>
      <c r="F102" s="62">
        <v>10</v>
      </c>
      <c r="G102" s="62">
        <f t="shared" si="7"/>
        <v>57</v>
      </c>
      <c r="H102" s="59"/>
    </row>
    <row r="103" spans="1:9" ht="16.5" x14ac:dyDescent="0.25">
      <c r="A103" s="60">
        <v>45913</v>
      </c>
      <c r="B103" s="59"/>
      <c r="C103" s="59"/>
      <c r="D103" s="59" t="s">
        <v>73</v>
      </c>
      <c r="E103" s="62"/>
      <c r="F103" s="62">
        <v>5</v>
      </c>
      <c r="G103" s="62">
        <f t="shared" si="7"/>
        <v>52</v>
      </c>
      <c r="H103" s="59"/>
    </row>
    <row r="104" spans="1:9" ht="16.5" x14ac:dyDescent="0.25">
      <c r="A104" s="60">
        <v>45913</v>
      </c>
      <c r="B104" s="59"/>
      <c r="C104" s="59"/>
      <c r="D104" s="59" t="s">
        <v>166</v>
      </c>
      <c r="E104" s="62"/>
      <c r="F104" s="62">
        <v>1</v>
      </c>
      <c r="G104" s="62">
        <f t="shared" si="7"/>
        <v>51</v>
      </c>
      <c r="H104" s="59"/>
    </row>
    <row r="105" spans="1:9" ht="16.5" x14ac:dyDescent="0.25">
      <c r="A105" s="74">
        <v>45915</v>
      </c>
      <c r="B105" s="72"/>
      <c r="C105" s="72"/>
      <c r="D105" s="72" t="s">
        <v>103</v>
      </c>
      <c r="E105" s="73">
        <v>9</v>
      </c>
      <c r="F105" s="73"/>
      <c r="G105" s="73">
        <f t="shared" si="7"/>
        <v>60</v>
      </c>
      <c r="H105" s="72"/>
    </row>
    <row r="106" spans="1:9" ht="16.5" x14ac:dyDescent="0.25">
      <c r="A106" s="60">
        <v>45915</v>
      </c>
      <c r="B106" s="59"/>
      <c r="C106" s="59"/>
      <c r="D106" s="59" t="s">
        <v>42</v>
      </c>
      <c r="E106" s="62"/>
      <c r="F106" s="62">
        <v>60</v>
      </c>
      <c r="G106" s="62">
        <f t="shared" si="7"/>
        <v>0</v>
      </c>
      <c r="H106" s="59"/>
    </row>
    <row r="107" spans="1:9" ht="16.5" x14ac:dyDescent="0.25">
      <c r="A107" s="74">
        <v>45916</v>
      </c>
      <c r="B107" s="72"/>
      <c r="C107" s="72"/>
      <c r="D107" s="72" t="s">
        <v>103</v>
      </c>
      <c r="E107" s="73">
        <v>10</v>
      </c>
      <c r="F107" s="73"/>
      <c r="G107" s="73">
        <f t="shared" si="7"/>
        <v>10</v>
      </c>
      <c r="H107" s="72"/>
      <c r="I107" s="6"/>
    </row>
    <row r="108" spans="1:9" ht="16.5" x14ac:dyDescent="0.25">
      <c r="A108" s="60">
        <v>45916</v>
      </c>
      <c r="B108" s="59"/>
      <c r="C108" s="59"/>
      <c r="D108" s="59" t="s">
        <v>68</v>
      </c>
      <c r="E108" s="62"/>
      <c r="F108" s="62">
        <v>10</v>
      </c>
      <c r="G108" s="62">
        <f t="shared" si="7"/>
        <v>0</v>
      </c>
      <c r="H108" s="59"/>
    </row>
    <row r="109" spans="1:9" ht="16.5" x14ac:dyDescent="0.25">
      <c r="A109" s="74">
        <v>45919</v>
      </c>
      <c r="B109" s="72">
        <v>110664</v>
      </c>
      <c r="C109" s="72"/>
      <c r="D109" s="72" t="s">
        <v>12</v>
      </c>
      <c r="E109" s="73">
        <v>210</v>
      </c>
      <c r="F109" s="73"/>
      <c r="G109" s="73">
        <f>G108+E109-F109</f>
        <v>210</v>
      </c>
      <c r="H109" s="72"/>
    </row>
    <row r="110" spans="1:9" ht="16.5" x14ac:dyDescent="0.25">
      <c r="A110" s="60">
        <v>45919</v>
      </c>
      <c r="B110" s="59"/>
      <c r="C110" s="59">
        <v>66490</v>
      </c>
      <c r="D110" s="59" t="s">
        <v>124</v>
      </c>
      <c r="E110" s="62"/>
      <c r="F110" s="62">
        <v>40</v>
      </c>
      <c r="G110" s="62">
        <f>G109+E110-F110</f>
        <v>170</v>
      </c>
      <c r="H110" s="59"/>
    </row>
    <row r="111" spans="1:9" ht="16.5" x14ac:dyDescent="0.25">
      <c r="A111" s="60">
        <v>45921</v>
      </c>
      <c r="B111" s="59"/>
      <c r="C111" s="59"/>
      <c r="D111" s="59" t="s">
        <v>178</v>
      </c>
      <c r="E111" s="62"/>
      <c r="F111" s="62">
        <v>4</v>
      </c>
      <c r="G111" s="62">
        <f t="shared" si="7"/>
        <v>166</v>
      </c>
      <c r="H111" s="59"/>
    </row>
    <row r="112" spans="1:9" ht="16.5" x14ac:dyDescent="0.25">
      <c r="A112" s="60">
        <v>45922</v>
      </c>
      <c r="B112" s="59">
        <v>127591</v>
      </c>
      <c r="C112" s="59"/>
      <c r="D112" s="59" t="s">
        <v>124</v>
      </c>
      <c r="E112" s="62"/>
      <c r="F112" s="62">
        <v>40</v>
      </c>
      <c r="G112" s="62">
        <f t="shared" si="7"/>
        <v>126</v>
      </c>
      <c r="H112" s="59"/>
    </row>
    <row r="113" spans="1:8" ht="16.5" x14ac:dyDescent="0.25">
      <c r="A113" s="60">
        <v>45922</v>
      </c>
      <c r="B113" s="59">
        <v>2060</v>
      </c>
      <c r="C113" s="59"/>
      <c r="D113" s="59" t="s">
        <v>121</v>
      </c>
      <c r="E113" s="62"/>
      <c r="F113" s="62">
        <v>100</v>
      </c>
      <c r="G113" s="62">
        <f t="shared" si="7"/>
        <v>26</v>
      </c>
      <c r="H113" s="59"/>
    </row>
    <row r="114" spans="1:8" ht="16.5" x14ac:dyDescent="0.25">
      <c r="A114" s="74">
        <v>45922</v>
      </c>
      <c r="B114" s="72">
        <v>110671</v>
      </c>
      <c r="C114" s="72"/>
      <c r="D114" s="72" t="s">
        <v>12</v>
      </c>
      <c r="E114" s="73">
        <v>210</v>
      </c>
      <c r="F114" s="73"/>
      <c r="G114" s="73">
        <f t="shared" si="7"/>
        <v>236</v>
      </c>
      <c r="H114" s="59"/>
    </row>
    <row r="115" spans="1:8" ht="16.5" x14ac:dyDescent="0.25">
      <c r="A115" s="60">
        <v>45926</v>
      </c>
      <c r="B115" s="59">
        <v>206054</v>
      </c>
      <c r="C115" s="59">
        <v>72108</v>
      </c>
      <c r="D115" s="59" t="s">
        <v>46</v>
      </c>
      <c r="E115" s="62"/>
      <c r="F115" s="62">
        <v>20</v>
      </c>
      <c r="G115" s="62">
        <f t="shared" si="7"/>
        <v>216</v>
      </c>
      <c r="H115" s="59"/>
    </row>
    <row r="116" spans="1:8" ht="16.5" x14ac:dyDescent="0.25">
      <c r="A116" s="60">
        <v>45926</v>
      </c>
      <c r="B116" s="59">
        <v>179935</v>
      </c>
      <c r="C116" s="59">
        <v>72101</v>
      </c>
      <c r="D116" s="59" t="s">
        <v>120</v>
      </c>
      <c r="E116" s="62"/>
      <c r="F116" s="62">
        <v>50</v>
      </c>
      <c r="G116" s="62">
        <f t="shared" ref="G116:G122" si="8">G115+E116-F116</f>
        <v>166</v>
      </c>
      <c r="H116" s="59"/>
    </row>
    <row r="117" spans="1:8" ht="16.5" x14ac:dyDescent="0.25">
      <c r="A117" s="60">
        <v>45926</v>
      </c>
      <c r="B117" s="59">
        <v>206954</v>
      </c>
      <c r="C117" s="59">
        <v>72102</v>
      </c>
      <c r="D117" s="59" t="s">
        <v>50</v>
      </c>
      <c r="E117" s="62"/>
      <c r="F117" s="62">
        <v>60</v>
      </c>
      <c r="G117" s="62">
        <f t="shared" si="8"/>
        <v>106</v>
      </c>
      <c r="H117" s="59"/>
    </row>
    <row r="118" spans="1:8" ht="16.5" x14ac:dyDescent="0.25">
      <c r="A118" s="74">
        <v>45927</v>
      </c>
      <c r="B118" s="72">
        <v>110690</v>
      </c>
      <c r="C118" s="72"/>
      <c r="D118" s="72" t="s">
        <v>12</v>
      </c>
      <c r="E118" s="73">
        <v>210</v>
      </c>
      <c r="F118" s="73"/>
      <c r="G118" s="73">
        <f t="shared" si="8"/>
        <v>316</v>
      </c>
      <c r="H118" s="72"/>
    </row>
    <row r="119" spans="1:8" ht="16.5" x14ac:dyDescent="0.25">
      <c r="A119" s="60">
        <v>45927</v>
      </c>
      <c r="B119" s="59">
        <v>2067</v>
      </c>
      <c r="C119" s="59">
        <v>72110</v>
      </c>
      <c r="D119" s="59" t="s">
        <v>42</v>
      </c>
      <c r="E119" s="62"/>
      <c r="F119" s="62">
        <v>100</v>
      </c>
      <c r="G119" s="62">
        <f t="shared" si="8"/>
        <v>216</v>
      </c>
      <c r="H119" s="59"/>
    </row>
    <row r="120" spans="1:8" ht="16.5" x14ac:dyDescent="0.25">
      <c r="A120" s="60">
        <v>45927</v>
      </c>
      <c r="B120" s="59">
        <v>142529</v>
      </c>
      <c r="C120" s="59">
        <v>72111</v>
      </c>
      <c r="D120" s="59" t="s">
        <v>66</v>
      </c>
      <c r="E120" s="62"/>
      <c r="F120" s="62">
        <v>30</v>
      </c>
      <c r="G120" s="62">
        <f t="shared" si="8"/>
        <v>186</v>
      </c>
      <c r="H120" s="59"/>
    </row>
    <row r="121" spans="1:8" ht="16.5" x14ac:dyDescent="0.25">
      <c r="A121" s="60">
        <v>45928</v>
      </c>
      <c r="B121" s="59"/>
      <c r="C121" s="59"/>
      <c r="D121" s="59" t="s">
        <v>181</v>
      </c>
      <c r="E121" s="62"/>
      <c r="F121" s="62">
        <v>3</v>
      </c>
      <c r="G121" s="62">
        <f t="shared" si="8"/>
        <v>183</v>
      </c>
      <c r="H121" s="59"/>
    </row>
    <row r="122" spans="1:8" ht="16.5" x14ac:dyDescent="0.25">
      <c r="A122" s="60">
        <v>45929</v>
      </c>
      <c r="B122" s="59"/>
      <c r="C122" s="59"/>
      <c r="D122" s="59" t="s">
        <v>41</v>
      </c>
      <c r="E122" s="62"/>
      <c r="F122" s="62">
        <v>5</v>
      </c>
      <c r="G122" s="62">
        <f t="shared" si="8"/>
        <v>178</v>
      </c>
      <c r="H122" s="59"/>
    </row>
    <row r="123" spans="1:8" ht="16.5" x14ac:dyDescent="0.25">
      <c r="A123" s="60">
        <v>45930</v>
      </c>
      <c r="B123" s="59"/>
      <c r="C123" s="59"/>
      <c r="D123" s="59" t="s">
        <v>42</v>
      </c>
      <c r="E123" s="62"/>
      <c r="F123" s="62">
        <v>50</v>
      </c>
      <c r="G123" s="62">
        <f t="shared" ref="G123:G129" si="9">G122+E123-F123</f>
        <v>128</v>
      </c>
      <c r="H123" s="59"/>
    </row>
    <row r="124" spans="1:8" ht="16.5" x14ac:dyDescent="0.25">
      <c r="A124" s="60">
        <v>45934</v>
      </c>
      <c r="B124" s="59"/>
      <c r="C124" s="59"/>
      <c r="D124" s="59" t="s">
        <v>178</v>
      </c>
      <c r="E124" s="62"/>
      <c r="F124" s="62">
        <v>20</v>
      </c>
      <c r="G124" s="62">
        <f t="shared" si="9"/>
        <v>108</v>
      </c>
      <c r="H124" s="59"/>
    </row>
    <row r="125" spans="1:8" ht="16.5" x14ac:dyDescent="0.25">
      <c r="A125" s="60">
        <v>45936</v>
      </c>
      <c r="B125" s="59"/>
      <c r="C125" s="59"/>
      <c r="D125" s="59" t="s">
        <v>196</v>
      </c>
      <c r="E125" s="62"/>
      <c r="F125" s="62">
        <v>5</v>
      </c>
      <c r="G125" s="62">
        <f t="shared" si="9"/>
        <v>103</v>
      </c>
      <c r="H125" s="59"/>
    </row>
    <row r="126" spans="1:8" ht="16.5" x14ac:dyDescent="0.25">
      <c r="A126" s="60">
        <v>45937</v>
      </c>
      <c r="B126" s="59"/>
      <c r="C126" s="59"/>
      <c r="D126" s="59" t="s">
        <v>197</v>
      </c>
      <c r="E126" s="62"/>
      <c r="F126" s="62">
        <v>5</v>
      </c>
      <c r="G126" s="62">
        <f t="shared" si="9"/>
        <v>98</v>
      </c>
      <c r="H126" s="59"/>
    </row>
    <row r="127" spans="1:8" ht="16.5" x14ac:dyDescent="0.25">
      <c r="A127" s="74">
        <v>45940</v>
      </c>
      <c r="B127" s="72">
        <v>110690</v>
      </c>
      <c r="C127" s="72"/>
      <c r="D127" s="72" t="s">
        <v>12</v>
      </c>
      <c r="E127" s="73">
        <v>210</v>
      </c>
      <c r="F127" s="73"/>
      <c r="G127" s="73">
        <f t="shared" si="9"/>
        <v>308</v>
      </c>
      <c r="H127" s="72"/>
    </row>
    <row r="128" spans="1:8" ht="16.5" x14ac:dyDescent="0.25">
      <c r="A128" s="60">
        <v>45940</v>
      </c>
      <c r="B128" s="59"/>
      <c r="C128" s="59"/>
      <c r="D128" s="59" t="s">
        <v>90</v>
      </c>
      <c r="E128" s="62"/>
      <c r="F128" s="62">
        <v>136</v>
      </c>
      <c r="G128" s="62">
        <f t="shared" si="9"/>
        <v>172</v>
      </c>
      <c r="H128" s="59"/>
    </row>
    <row r="129" spans="1:8" ht="16.5" x14ac:dyDescent="0.25">
      <c r="A129" s="60">
        <v>45940</v>
      </c>
      <c r="B129" s="59">
        <v>206068</v>
      </c>
      <c r="C129" s="59">
        <v>72135</v>
      </c>
      <c r="D129" s="59" t="s">
        <v>46</v>
      </c>
      <c r="E129" s="62"/>
      <c r="F129" s="62">
        <v>20</v>
      </c>
      <c r="G129" s="62">
        <f t="shared" si="9"/>
        <v>152</v>
      </c>
      <c r="H129" s="59"/>
    </row>
    <row r="130" spans="1:8" ht="16.5" x14ac:dyDescent="0.25">
      <c r="A130" s="60">
        <v>45941</v>
      </c>
      <c r="B130" s="59"/>
      <c r="C130" s="59"/>
      <c r="D130" s="59" t="s">
        <v>109</v>
      </c>
      <c r="E130" s="62"/>
      <c r="F130" s="62">
        <v>40</v>
      </c>
      <c r="G130" s="62">
        <f>G129+E130-F130</f>
        <v>112</v>
      </c>
      <c r="H130" s="59"/>
    </row>
    <row r="131" spans="1:8" ht="16.5" x14ac:dyDescent="0.25">
      <c r="A131" s="60">
        <v>45941</v>
      </c>
      <c r="B131" s="59">
        <v>2083</v>
      </c>
      <c r="C131" s="59">
        <v>72137</v>
      </c>
      <c r="D131" s="59" t="s">
        <v>42</v>
      </c>
      <c r="E131" s="62"/>
      <c r="F131" s="62">
        <v>50</v>
      </c>
      <c r="G131" s="62">
        <f>G130+E131-F131</f>
        <v>62</v>
      </c>
      <c r="H131" s="59"/>
    </row>
    <row r="132" spans="1:8" ht="16.5" x14ac:dyDescent="0.25">
      <c r="A132" s="60">
        <v>45941</v>
      </c>
      <c r="B132" s="59"/>
      <c r="C132" s="59"/>
      <c r="D132" s="59" t="s">
        <v>200</v>
      </c>
      <c r="E132" s="62"/>
      <c r="F132" s="62">
        <v>10</v>
      </c>
      <c r="G132" s="62">
        <f>G131+E132-F132</f>
        <v>52</v>
      </c>
      <c r="H132" s="59"/>
    </row>
    <row r="133" spans="1:8" ht="16.5" x14ac:dyDescent="0.25">
      <c r="A133" s="60">
        <v>45941</v>
      </c>
      <c r="B133" s="59">
        <v>142529</v>
      </c>
      <c r="C133" s="59">
        <v>72136</v>
      </c>
      <c r="D133" s="59" t="s">
        <v>66</v>
      </c>
      <c r="E133" s="62"/>
      <c r="F133" s="62">
        <v>20</v>
      </c>
      <c r="G133" s="62">
        <f>G132+E133-F133</f>
        <v>32</v>
      </c>
      <c r="H133" s="59"/>
    </row>
    <row r="134" spans="1:8" ht="16.5" x14ac:dyDescent="0.25">
      <c r="A134" s="60">
        <v>45941</v>
      </c>
      <c r="B134" s="59"/>
      <c r="C134" s="59"/>
      <c r="D134" s="59" t="s">
        <v>61</v>
      </c>
      <c r="E134" s="62"/>
      <c r="F134" s="62">
        <v>5</v>
      </c>
      <c r="G134" s="62">
        <f>G133+E134-F134</f>
        <v>27</v>
      </c>
      <c r="H134" s="59"/>
    </row>
    <row r="135" spans="1:8" ht="16.5" x14ac:dyDescent="0.25">
      <c r="A135" s="60">
        <v>45943</v>
      </c>
      <c r="B135" s="59">
        <v>173189</v>
      </c>
      <c r="C135" s="59">
        <v>72147</v>
      </c>
      <c r="D135" s="59" t="s">
        <v>160</v>
      </c>
      <c r="E135" s="62"/>
      <c r="F135" s="62">
        <v>10</v>
      </c>
      <c r="G135" s="62">
        <f t="shared" ref="G135:G140" si="10">G134+E135-F135</f>
        <v>17</v>
      </c>
      <c r="H135" s="59"/>
    </row>
    <row r="136" spans="1:8" ht="16.5" x14ac:dyDescent="0.25">
      <c r="A136" s="74">
        <v>45946</v>
      </c>
      <c r="B136" s="72"/>
      <c r="C136" s="72"/>
      <c r="D136" s="72" t="s">
        <v>12</v>
      </c>
      <c r="E136" s="73">
        <v>210</v>
      </c>
      <c r="F136" s="73"/>
      <c r="G136" s="73">
        <f t="shared" si="10"/>
        <v>227</v>
      </c>
      <c r="H136" s="72"/>
    </row>
    <row r="137" spans="1:8" ht="16.5" x14ac:dyDescent="0.25">
      <c r="A137" s="60">
        <v>45946</v>
      </c>
      <c r="B137" s="59">
        <v>206087</v>
      </c>
      <c r="C137" s="59">
        <v>71304</v>
      </c>
      <c r="D137" s="59" t="s">
        <v>46</v>
      </c>
      <c r="E137" s="62"/>
      <c r="F137" s="62">
        <v>20</v>
      </c>
      <c r="G137" s="62">
        <f t="shared" si="10"/>
        <v>207</v>
      </c>
      <c r="H137" s="59"/>
    </row>
    <row r="138" spans="1:8" ht="16.5" x14ac:dyDescent="0.25">
      <c r="A138" s="60">
        <v>45949</v>
      </c>
      <c r="B138" s="59"/>
      <c r="C138" s="59"/>
      <c r="D138" s="59" t="s">
        <v>61</v>
      </c>
      <c r="E138" s="62"/>
      <c r="F138" s="62">
        <v>2</v>
      </c>
      <c r="G138" s="62">
        <f t="shared" si="10"/>
        <v>205</v>
      </c>
      <c r="H138" s="59"/>
    </row>
    <row r="139" spans="1:8" ht="16.5" x14ac:dyDescent="0.25">
      <c r="A139" s="60">
        <v>45950</v>
      </c>
      <c r="B139" s="59"/>
      <c r="C139" s="59"/>
      <c r="D139" s="59" t="s">
        <v>207</v>
      </c>
      <c r="E139" s="62"/>
      <c r="F139" s="62">
        <v>80</v>
      </c>
      <c r="G139" s="62">
        <f t="shared" si="10"/>
        <v>125</v>
      </c>
      <c r="H139" s="59"/>
    </row>
    <row r="140" spans="1:8" ht="16.5" x14ac:dyDescent="0.25">
      <c r="A140" s="60">
        <v>45952</v>
      </c>
      <c r="B140" s="59"/>
      <c r="C140" s="59"/>
      <c r="D140" s="59" t="s">
        <v>73</v>
      </c>
      <c r="E140" s="62"/>
      <c r="F140" s="62">
        <v>40</v>
      </c>
      <c r="G140" s="62">
        <f t="shared" si="10"/>
        <v>85</v>
      </c>
      <c r="H140" s="59"/>
    </row>
    <row r="141" spans="1:8" ht="16.5" x14ac:dyDescent="0.25">
      <c r="A141" s="60">
        <v>45952</v>
      </c>
      <c r="B141" s="59">
        <v>206087</v>
      </c>
      <c r="C141" s="59">
        <v>71314</v>
      </c>
      <c r="D141" s="59" t="s">
        <v>46</v>
      </c>
      <c r="E141" s="62"/>
      <c r="F141" s="62">
        <v>20</v>
      </c>
      <c r="G141" s="62">
        <f t="shared" ref="G141:G147" si="11">G140+E141-F141</f>
        <v>65</v>
      </c>
      <c r="H141" s="59"/>
    </row>
    <row r="142" spans="1:8" ht="16.5" x14ac:dyDescent="0.25">
      <c r="A142" s="60">
        <v>45953</v>
      </c>
      <c r="B142" s="59"/>
      <c r="C142" s="59"/>
      <c r="D142" s="59" t="s">
        <v>17</v>
      </c>
      <c r="E142" s="62"/>
      <c r="F142" s="62">
        <v>1</v>
      </c>
      <c r="G142" s="62">
        <f t="shared" si="11"/>
        <v>64</v>
      </c>
      <c r="H142" s="59"/>
    </row>
    <row r="143" spans="1:8" ht="16.5" x14ac:dyDescent="0.25">
      <c r="A143" s="60">
        <v>45954</v>
      </c>
      <c r="B143" s="59"/>
      <c r="C143" s="59"/>
      <c r="D143" s="59" t="s">
        <v>208</v>
      </c>
      <c r="E143" s="62"/>
      <c r="F143" s="62">
        <v>40</v>
      </c>
      <c r="G143" s="62">
        <f t="shared" si="11"/>
        <v>24</v>
      </c>
      <c r="H143" s="59"/>
    </row>
    <row r="144" spans="1:8" ht="16.5" x14ac:dyDescent="0.25">
      <c r="A144" s="74">
        <v>45954</v>
      </c>
      <c r="B144" s="72">
        <v>110756</v>
      </c>
      <c r="C144" s="72"/>
      <c r="D144" s="72" t="s">
        <v>12</v>
      </c>
      <c r="E144" s="73">
        <v>210</v>
      </c>
      <c r="F144" s="73"/>
      <c r="G144" s="73">
        <f t="shared" si="11"/>
        <v>234</v>
      </c>
      <c r="H144" s="72"/>
    </row>
    <row r="145" spans="1:8" ht="16.5" x14ac:dyDescent="0.25">
      <c r="A145" s="60">
        <v>45954</v>
      </c>
      <c r="B145" s="59">
        <v>206977</v>
      </c>
      <c r="C145" s="59">
        <v>71319</v>
      </c>
      <c r="D145" s="59" t="s">
        <v>50</v>
      </c>
      <c r="E145" s="62"/>
      <c r="F145" s="62">
        <v>60</v>
      </c>
      <c r="G145" s="62">
        <f t="shared" si="11"/>
        <v>174</v>
      </c>
      <c r="H145" s="59"/>
    </row>
    <row r="146" spans="1:8" ht="16.5" x14ac:dyDescent="0.25">
      <c r="A146" s="60">
        <v>45954</v>
      </c>
      <c r="B146" s="59">
        <v>112654</v>
      </c>
      <c r="C146" s="59">
        <v>71320</v>
      </c>
      <c r="D146" s="59" t="s">
        <v>120</v>
      </c>
      <c r="E146" s="62"/>
      <c r="F146" s="62">
        <v>50</v>
      </c>
      <c r="G146" s="62">
        <f t="shared" si="11"/>
        <v>124</v>
      </c>
      <c r="H146" s="59"/>
    </row>
    <row r="147" spans="1:8" ht="16.5" x14ac:dyDescent="0.25">
      <c r="A147" s="60">
        <v>45957</v>
      </c>
      <c r="B147" s="59">
        <v>2107</v>
      </c>
      <c r="C147" s="59">
        <v>71327</v>
      </c>
      <c r="D147" s="59" t="s">
        <v>209</v>
      </c>
      <c r="E147" s="62"/>
      <c r="F147" s="62">
        <v>50</v>
      </c>
      <c r="G147" s="62">
        <f t="shared" si="11"/>
        <v>74</v>
      </c>
      <c r="H147" s="59"/>
    </row>
    <row r="148" spans="1:8" ht="16.5" x14ac:dyDescent="0.25">
      <c r="A148" s="60">
        <v>45958</v>
      </c>
      <c r="B148" s="59"/>
      <c r="C148" s="59"/>
      <c r="D148" s="59" t="s">
        <v>13</v>
      </c>
      <c r="E148" s="62"/>
      <c r="F148" s="62">
        <v>20</v>
      </c>
      <c r="G148" s="62">
        <f t="shared" ref="G148:G158" si="12">G147+E148-F148</f>
        <v>54</v>
      </c>
      <c r="H148" s="59"/>
    </row>
    <row r="149" spans="1:8" ht="16.5" x14ac:dyDescent="0.25">
      <c r="A149" s="60">
        <v>45958</v>
      </c>
      <c r="B149" s="59"/>
      <c r="C149" s="59"/>
      <c r="D149" s="59" t="s">
        <v>26</v>
      </c>
      <c r="E149" s="62"/>
      <c r="F149" s="62">
        <v>50</v>
      </c>
      <c r="G149" s="62">
        <f t="shared" si="12"/>
        <v>4</v>
      </c>
      <c r="H149" s="59"/>
    </row>
    <row r="150" spans="1:8" ht="16.5" x14ac:dyDescent="0.25">
      <c r="A150" s="74">
        <v>45961</v>
      </c>
      <c r="B150" s="72">
        <v>110764</v>
      </c>
      <c r="C150" s="72"/>
      <c r="D150" s="72" t="s">
        <v>12</v>
      </c>
      <c r="E150" s="73">
        <v>210</v>
      </c>
      <c r="F150" s="73"/>
      <c r="G150" s="73">
        <f t="shared" si="12"/>
        <v>214</v>
      </c>
      <c r="H150" s="72"/>
    </row>
    <row r="151" spans="1:8" ht="16.5" x14ac:dyDescent="0.25">
      <c r="A151" s="60">
        <v>45961</v>
      </c>
      <c r="B151" s="59">
        <v>2156</v>
      </c>
      <c r="C151" s="59">
        <v>71342</v>
      </c>
      <c r="D151" s="59" t="s">
        <v>42</v>
      </c>
      <c r="E151" s="62"/>
      <c r="F151" s="62">
        <v>60</v>
      </c>
      <c r="G151" s="62">
        <f t="shared" si="12"/>
        <v>154</v>
      </c>
      <c r="H151" s="59"/>
    </row>
    <row r="152" spans="1:8" ht="16.5" x14ac:dyDescent="0.25">
      <c r="A152" s="60">
        <v>45961</v>
      </c>
      <c r="B152" s="59">
        <v>206009</v>
      </c>
      <c r="C152" s="59">
        <v>71340</v>
      </c>
      <c r="D152" s="59" t="s">
        <v>46</v>
      </c>
      <c r="E152" s="62"/>
      <c r="F152" s="62">
        <v>40</v>
      </c>
      <c r="G152" s="62">
        <f t="shared" si="12"/>
        <v>114</v>
      </c>
      <c r="H152" s="59"/>
    </row>
    <row r="153" spans="1:8" ht="16.5" x14ac:dyDescent="0.25">
      <c r="A153" s="60">
        <v>45962</v>
      </c>
      <c r="B153" s="59">
        <v>81404</v>
      </c>
      <c r="C153" s="59">
        <v>71347</v>
      </c>
      <c r="D153" s="59" t="s">
        <v>88</v>
      </c>
      <c r="E153" s="62"/>
      <c r="F153" s="62">
        <v>50</v>
      </c>
      <c r="G153" s="62">
        <f t="shared" si="12"/>
        <v>64</v>
      </c>
      <c r="H153" s="59"/>
    </row>
    <row r="154" spans="1:8" ht="16.5" x14ac:dyDescent="0.25">
      <c r="A154" s="60">
        <v>45962</v>
      </c>
      <c r="B154" s="59">
        <v>24387</v>
      </c>
      <c r="C154" s="59">
        <v>71348</v>
      </c>
      <c r="D154" s="59" t="s">
        <v>214</v>
      </c>
      <c r="E154" s="62"/>
      <c r="F154" s="62">
        <v>30</v>
      </c>
      <c r="G154" s="62">
        <f t="shared" si="12"/>
        <v>34</v>
      </c>
      <c r="H154" s="59"/>
    </row>
    <row r="155" spans="1:8" ht="16.5" x14ac:dyDescent="0.25">
      <c r="A155" s="60">
        <v>45962</v>
      </c>
      <c r="B155" s="59"/>
      <c r="C155" s="59"/>
      <c r="D155" s="59" t="s">
        <v>63</v>
      </c>
      <c r="E155" s="62"/>
      <c r="F155" s="62">
        <v>20</v>
      </c>
      <c r="G155" s="62">
        <f t="shared" si="12"/>
        <v>14</v>
      </c>
      <c r="H155" s="59"/>
    </row>
    <row r="156" spans="1:8" ht="16.5" x14ac:dyDescent="0.25">
      <c r="A156" s="60">
        <v>45963</v>
      </c>
      <c r="B156" s="59"/>
      <c r="C156" s="59"/>
      <c r="D156" s="59" t="s">
        <v>95</v>
      </c>
      <c r="E156" s="62"/>
      <c r="F156" s="62">
        <v>6</v>
      </c>
      <c r="G156" s="62">
        <f t="shared" si="12"/>
        <v>8</v>
      </c>
      <c r="H156" s="59"/>
    </row>
    <row r="157" spans="1:8" ht="16.5" x14ac:dyDescent="0.25">
      <c r="A157" s="74">
        <v>45964</v>
      </c>
      <c r="B157" s="72"/>
      <c r="C157" s="72"/>
      <c r="D157" s="72" t="s">
        <v>103</v>
      </c>
      <c r="E157" s="73">
        <v>2</v>
      </c>
      <c r="F157" s="73"/>
      <c r="G157" s="73">
        <f t="shared" si="12"/>
        <v>10</v>
      </c>
      <c r="H157" s="72"/>
    </row>
    <row r="158" spans="1:8" ht="16.5" x14ac:dyDescent="0.25">
      <c r="A158" s="60">
        <v>45964</v>
      </c>
      <c r="B158" s="59"/>
      <c r="C158" s="59"/>
      <c r="D158" s="59" t="s">
        <v>26</v>
      </c>
      <c r="E158" s="62"/>
      <c r="F158" s="62">
        <v>10</v>
      </c>
      <c r="G158" s="62">
        <f t="shared" si="12"/>
        <v>0</v>
      </c>
      <c r="H158" s="59"/>
    </row>
    <row r="159" spans="1:8" ht="16.5" x14ac:dyDescent="0.25">
      <c r="A159" s="74">
        <v>45974</v>
      </c>
      <c r="B159" s="72">
        <v>110781</v>
      </c>
      <c r="C159" s="72"/>
      <c r="D159" s="72" t="s">
        <v>12</v>
      </c>
      <c r="E159" s="73">
        <v>210</v>
      </c>
      <c r="F159" s="73"/>
      <c r="G159" s="73">
        <f t="shared" ref="G159:G164" si="13">G158+E159-F159</f>
        <v>210</v>
      </c>
      <c r="H159" s="72"/>
    </row>
    <row r="160" spans="1:8" ht="16.5" x14ac:dyDescent="0.25">
      <c r="A160" s="60">
        <v>45974</v>
      </c>
      <c r="B160" s="59">
        <v>127542</v>
      </c>
      <c r="C160" s="59">
        <v>64970</v>
      </c>
      <c r="D160" s="59" t="s">
        <v>124</v>
      </c>
      <c r="E160" s="62"/>
      <c r="F160" s="62">
        <v>40</v>
      </c>
      <c r="G160" s="62">
        <f t="shared" si="13"/>
        <v>170</v>
      </c>
      <c r="H160" s="59"/>
    </row>
    <row r="161" spans="1:12" ht="16.5" x14ac:dyDescent="0.25">
      <c r="A161" s="60">
        <v>45976</v>
      </c>
      <c r="B161" s="59"/>
      <c r="C161" s="59"/>
      <c r="D161" s="59" t="s">
        <v>124</v>
      </c>
      <c r="E161" s="62"/>
      <c r="F161" s="62">
        <v>40</v>
      </c>
      <c r="G161" s="62">
        <f t="shared" si="13"/>
        <v>130</v>
      </c>
      <c r="H161" s="59"/>
      <c r="L161" t="s">
        <v>308</v>
      </c>
    </row>
    <row r="162" spans="1:12" ht="16.5" x14ac:dyDescent="0.25">
      <c r="A162" s="60">
        <v>45976</v>
      </c>
      <c r="B162" s="59">
        <v>2185</v>
      </c>
      <c r="C162" s="59">
        <v>71956</v>
      </c>
      <c r="D162" s="59" t="s">
        <v>149</v>
      </c>
      <c r="E162" s="62"/>
      <c r="F162" s="62">
        <v>60</v>
      </c>
      <c r="G162" s="62">
        <f t="shared" si="13"/>
        <v>70</v>
      </c>
      <c r="H162" s="59"/>
    </row>
    <row r="163" spans="1:12" ht="16.5" x14ac:dyDescent="0.25">
      <c r="A163" s="60">
        <v>45979</v>
      </c>
      <c r="B163" s="59">
        <v>172742</v>
      </c>
      <c r="C163" s="59">
        <v>71960</v>
      </c>
      <c r="D163" s="59" t="s">
        <v>254</v>
      </c>
      <c r="E163" s="62"/>
      <c r="F163" s="62">
        <v>50</v>
      </c>
      <c r="G163" s="62">
        <f t="shared" si="13"/>
        <v>20</v>
      </c>
      <c r="H163" s="59"/>
    </row>
    <row r="164" spans="1:12" ht="16.5" x14ac:dyDescent="0.25">
      <c r="A164" s="74">
        <v>45980</v>
      </c>
      <c r="B164" s="72">
        <v>110781</v>
      </c>
      <c r="C164" s="72"/>
      <c r="D164" s="72" t="s">
        <v>12</v>
      </c>
      <c r="E164" s="73">
        <v>210</v>
      </c>
      <c r="F164" s="62"/>
      <c r="G164" s="62">
        <f t="shared" si="13"/>
        <v>230</v>
      </c>
      <c r="H164" s="59"/>
    </row>
    <row r="165" spans="1:12" ht="16.5" x14ac:dyDescent="0.25">
      <c r="A165" s="60">
        <v>45980</v>
      </c>
      <c r="B165" s="59">
        <v>2209</v>
      </c>
      <c r="C165" s="59">
        <v>71961</v>
      </c>
      <c r="D165" s="59" t="s">
        <v>42</v>
      </c>
      <c r="E165" s="62"/>
      <c r="F165" s="62">
        <v>60</v>
      </c>
      <c r="G165" s="62">
        <f t="shared" ref="G165:G174" si="14">G164+E165-F165</f>
        <v>170</v>
      </c>
      <c r="H165" s="59"/>
    </row>
    <row r="166" spans="1:12" ht="16.5" x14ac:dyDescent="0.25">
      <c r="A166" s="60">
        <v>45982</v>
      </c>
      <c r="B166" s="59"/>
      <c r="C166" s="59"/>
      <c r="D166" s="59" t="s">
        <v>255</v>
      </c>
      <c r="E166" s="62"/>
      <c r="F166" s="62">
        <v>15</v>
      </c>
      <c r="G166" s="62">
        <f t="shared" si="14"/>
        <v>155</v>
      </c>
      <c r="H166" s="59"/>
    </row>
    <row r="167" spans="1:12" ht="16.5" x14ac:dyDescent="0.25">
      <c r="A167" s="60">
        <v>45982</v>
      </c>
      <c r="B167" s="59"/>
      <c r="C167" s="59"/>
      <c r="D167" s="59" t="s">
        <v>13</v>
      </c>
      <c r="E167" s="62"/>
      <c r="F167" s="62">
        <v>50</v>
      </c>
      <c r="G167" s="62">
        <f t="shared" si="14"/>
        <v>105</v>
      </c>
      <c r="H167" s="59"/>
    </row>
    <row r="168" spans="1:12" ht="16.5" x14ac:dyDescent="0.25">
      <c r="A168" s="60">
        <v>45983</v>
      </c>
      <c r="B168" s="59"/>
      <c r="C168" s="59"/>
      <c r="D168" s="59" t="s">
        <v>110</v>
      </c>
      <c r="E168" s="62"/>
      <c r="F168" s="62">
        <v>10</v>
      </c>
      <c r="G168" s="62">
        <f t="shared" si="14"/>
        <v>95</v>
      </c>
      <c r="H168" s="59"/>
    </row>
    <row r="169" spans="1:12" ht="16.5" x14ac:dyDescent="0.25">
      <c r="A169" s="60">
        <v>45984</v>
      </c>
      <c r="B169" s="59"/>
      <c r="C169" s="59"/>
      <c r="D169" s="59" t="s">
        <v>73</v>
      </c>
      <c r="E169" s="62"/>
      <c r="F169" s="62">
        <v>20</v>
      </c>
      <c r="G169" s="62">
        <f t="shared" si="14"/>
        <v>75</v>
      </c>
      <c r="H169" s="59"/>
    </row>
    <row r="170" spans="1:12" ht="16.5" x14ac:dyDescent="0.25">
      <c r="A170" s="60">
        <v>45984</v>
      </c>
      <c r="B170" s="59">
        <v>127651</v>
      </c>
      <c r="C170" s="59">
        <v>64972</v>
      </c>
      <c r="D170" s="59" t="s">
        <v>66</v>
      </c>
      <c r="E170" s="62"/>
      <c r="F170" s="62">
        <v>20</v>
      </c>
      <c r="G170" s="62">
        <f t="shared" si="14"/>
        <v>55</v>
      </c>
      <c r="H170" s="59"/>
    </row>
    <row r="171" spans="1:12" ht="16.5" x14ac:dyDescent="0.25">
      <c r="A171" s="60">
        <v>45986</v>
      </c>
      <c r="B171" s="59"/>
      <c r="C171" s="59"/>
      <c r="D171" s="72" t="s">
        <v>103</v>
      </c>
      <c r="E171" s="62">
        <v>15</v>
      </c>
      <c r="F171" s="62"/>
      <c r="G171" s="62">
        <f t="shared" si="14"/>
        <v>70</v>
      </c>
      <c r="H171" s="59"/>
    </row>
    <row r="172" spans="1:12" ht="16.5" x14ac:dyDescent="0.25">
      <c r="A172" s="60">
        <v>45986</v>
      </c>
      <c r="B172" s="59"/>
      <c r="C172" s="59"/>
      <c r="D172" s="59" t="s">
        <v>239</v>
      </c>
      <c r="E172" s="62"/>
      <c r="F172" s="62">
        <v>70</v>
      </c>
      <c r="G172" s="62">
        <f t="shared" si="14"/>
        <v>0</v>
      </c>
      <c r="H172" s="59"/>
    </row>
    <row r="173" spans="1:12" ht="16.5" x14ac:dyDescent="0.25">
      <c r="A173" s="74">
        <v>46000</v>
      </c>
      <c r="B173" s="72">
        <v>141251</v>
      </c>
      <c r="C173" s="72"/>
      <c r="D173" s="72" t="s">
        <v>12</v>
      </c>
      <c r="E173" s="73">
        <v>210</v>
      </c>
      <c r="F173" s="73"/>
      <c r="G173" s="73">
        <f t="shared" si="14"/>
        <v>210</v>
      </c>
      <c r="H173" s="72"/>
    </row>
    <row r="174" spans="1:12" ht="16.5" x14ac:dyDescent="0.25">
      <c r="A174" s="60">
        <v>46000</v>
      </c>
      <c r="B174" s="59"/>
      <c r="C174" s="59"/>
      <c r="D174" s="59" t="s">
        <v>42</v>
      </c>
      <c r="E174" s="62"/>
      <c r="F174" s="62">
        <v>20</v>
      </c>
      <c r="G174" s="62">
        <f t="shared" si="14"/>
        <v>190</v>
      </c>
      <c r="H174" s="59"/>
    </row>
    <row r="175" spans="1:12" ht="16.5" x14ac:dyDescent="0.25">
      <c r="A175" s="60">
        <v>46000</v>
      </c>
      <c r="B175" s="59"/>
      <c r="C175" s="59"/>
      <c r="D175" s="59" t="s">
        <v>250</v>
      </c>
      <c r="E175" s="62"/>
      <c r="F175" s="62">
        <v>70</v>
      </c>
      <c r="G175" s="62">
        <f t="shared" ref="G175:G188" si="15">G174+E175-F175</f>
        <v>120</v>
      </c>
      <c r="H175" s="59"/>
    </row>
    <row r="176" spans="1:12" ht="16.5" x14ac:dyDescent="0.25">
      <c r="A176" s="60">
        <v>46001</v>
      </c>
      <c r="B176" s="59"/>
      <c r="C176" s="59"/>
      <c r="D176" s="59" t="s">
        <v>256</v>
      </c>
      <c r="E176" s="62"/>
      <c r="F176" s="62">
        <v>10</v>
      </c>
      <c r="G176" s="62">
        <f t="shared" si="15"/>
        <v>110</v>
      </c>
      <c r="H176" s="59"/>
    </row>
    <row r="177" spans="1:8" ht="16.5" x14ac:dyDescent="0.25">
      <c r="A177" s="74">
        <v>46001</v>
      </c>
      <c r="B177" s="72">
        <v>141252</v>
      </c>
      <c r="C177" s="72"/>
      <c r="D177" s="72" t="s">
        <v>12</v>
      </c>
      <c r="E177" s="73">
        <v>210</v>
      </c>
      <c r="F177" s="73"/>
      <c r="G177" s="73">
        <f t="shared" si="15"/>
        <v>320</v>
      </c>
      <c r="H177" s="72"/>
    </row>
    <row r="178" spans="1:8" ht="16.5" x14ac:dyDescent="0.25">
      <c r="A178" s="60">
        <v>46001</v>
      </c>
      <c r="B178" s="59"/>
      <c r="C178" s="59"/>
      <c r="D178" s="59" t="s">
        <v>166</v>
      </c>
      <c r="E178" s="62"/>
      <c r="F178" s="62">
        <v>130</v>
      </c>
      <c r="G178" s="62">
        <f t="shared" si="15"/>
        <v>190</v>
      </c>
      <c r="H178" s="59"/>
    </row>
    <row r="179" spans="1:8" ht="16.5" x14ac:dyDescent="0.25">
      <c r="A179" s="60">
        <v>46001</v>
      </c>
      <c r="B179" s="59"/>
      <c r="C179" s="59"/>
      <c r="D179" s="59" t="s">
        <v>257</v>
      </c>
      <c r="E179" s="62"/>
      <c r="F179" s="62">
        <v>30</v>
      </c>
      <c r="G179" s="62">
        <f t="shared" si="15"/>
        <v>160</v>
      </c>
      <c r="H179" s="59"/>
    </row>
    <row r="180" spans="1:8" ht="16.5" x14ac:dyDescent="0.25">
      <c r="A180" s="60">
        <v>46001</v>
      </c>
      <c r="B180" s="59">
        <v>205956</v>
      </c>
      <c r="C180" s="59">
        <v>71969</v>
      </c>
      <c r="D180" s="59" t="s">
        <v>279</v>
      </c>
      <c r="E180" s="62"/>
      <c r="F180" s="62">
        <v>25</v>
      </c>
      <c r="G180" s="62">
        <f t="shared" si="15"/>
        <v>135</v>
      </c>
      <c r="H180" s="59"/>
    </row>
    <row r="181" spans="1:8" ht="16.5" x14ac:dyDescent="0.25">
      <c r="A181" s="60">
        <v>46002</v>
      </c>
      <c r="B181" s="59"/>
      <c r="C181" s="59"/>
      <c r="D181" s="59" t="s">
        <v>166</v>
      </c>
      <c r="E181" s="62"/>
      <c r="F181" s="62">
        <v>30</v>
      </c>
      <c r="G181" s="62">
        <f t="shared" si="15"/>
        <v>105</v>
      </c>
      <c r="H181" s="59"/>
    </row>
    <row r="182" spans="1:8" ht="16.5" x14ac:dyDescent="0.25">
      <c r="A182" s="60">
        <v>46002</v>
      </c>
      <c r="B182" s="59"/>
      <c r="C182" s="59"/>
      <c r="D182" s="59" t="s">
        <v>107</v>
      </c>
      <c r="E182" s="62"/>
      <c r="F182" s="62">
        <v>20</v>
      </c>
      <c r="G182" s="62">
        <f t="shared" si="15"/>
        <v>85</v>
      </c>
      <c r="H182" s="59"/>
    </row>
    <row r="183" spans="1:8" ht="16.5" x14ac:dyDescent="0.25">
      <c r="A183" s="60">
        <v>46002</v>
      </c>
      <c r="B183" s="59"/>
      <c r="C183" s="59"/>
      <c r="D183" s="59" t="s">
        <v>239</v>
      </c>
      <c r="E183" s="62"/>
      <c r="F183" s="62">
        <v>20</v>
      </c>
      <c r="G183" s="62">
        <f t="shared" si="15"/>
        <v>65</v>
      </c>
      <c r="H183" s="59"/>
    </row>
    <row r="184" spans="1:8" ht="16.5" x14ac:dyDescent="0.25">
      <c r="A184" s="60">
        <v>46003</v>
      </c>
      <c r="B184" s="59"/>
      <c r="C184" s="59"/>
      <c r="D184" s="59" t="s">
        <v>166</v>
      </c>
      <c r="E184" s="62"/>
      <c r="F184" s="62">
        <v>40</v>
      </c>
      <c r="G184" s="62">
        <f t="shared" si="15"/>
        <v>25</v>
      </c>
      <c r="H184" s="59"/>
    </row>
    <row r="185" spans="1:8" ht="16.5" x14ac:dyDescent="0.25">
      <c r="A185" s="60">
        <v>46003</v>
      </c>
      <c r="B185" s="59">
        <v>126910</v>
      </c>
      <c r="C185" s="59">
        <v>71972</v>
      </c>
      <c r="D185" s="59" t="s">
        <v>160</v>
      </c>
      <c r="E185" s="62"/>
      <c r="F185" s="62">
        <v>20</v>
      </c>
      <c r="G185" s="62">
        <f t="shared" si="15"/>
        <v>5</v>
      </c>
      <c r="H185" s="59"/>
    </row>
    <row r="186" spans="1:8" ht="16.5" x14ac:dyDescent="0.25">
      <c r="A186" s="74">
        <v>46007</v>
      </c>
      <c r="B186" s="72">
        <v>141260</v>
      </c>
      <c r="C186" s="72"/>
      <c r="D186" s="72" t="s">
        <v>12</v>
      </c>
      <c r="E186" s="73">
        <v>210</v>
      </c>
      <c r="F186" s="73"/>
      <c r="G186" s="73">
        <f t="shared" si="15"/>
        <v>215</v>
      </c>
      <c r="H186" s="59"/>
    </row>
    <row r="187" spans="1:8" ht="16.5" x14ac:dyDescent="0.25">
      <c r="A187" s="60">
        <v>46007</v>
      </c>
      <c r="B187" s="59"/>
      <c r="C187" s="59"/>
      <c r="D187" s="59" t="s">
        <v>46</v>
      </c>
      <c r="E187" s="62"/>
      <c r="F187" s="62">
        <v>80</v>
      </c>
      <c r="G187" s="62">
        <f t="shared" si="15"/>
        <v>135</v>
      </c>
      <c r="H187" s="59"/>
    </row>
    <row r="188" spans="1:8" ht="16.5" x14ac:dyDescent="0.25">
      <c r="A188" s="60">
        <v>46008</v>
      </c>
      <c r="B188" s="59">
        <v>203560</v>
      </c>
      <c r="C188" s="59">
        <v>71979</v>
      </c>
      <c r="D188" s="59" t="s">
        <v>258</v>
      </c>
      <c r="E188" s="62"/>
      <c r="F188" s="62">
        <v>60</v>
      </c>
      <c r="G188" s="62">
        <f t="shared" si="15"/>
        <v>75</v>
      </c>
      <c r="H188" s="59"/>
    </row>
    <row r="189" spans="1:8" ht="16.5" x14ac:dyDescent="0.25">
      <c r="A189" s="60">
        <v>46008</v>
      </c>
      <c r="B189" s="59"/>
      <c r="C189" s="59"/>
      <c r="D189" s="59" t="s">
        <v>13</v>
      </c>
      <c r="E189" s="62"/>
      <c r="F189" s="62">
        <v>20</v>
      </c>
      <c r="G189" s="62">
        <f t="shared" ref="G189:G196" si="16">G188+E189-F189</f>
        <v>55</v>
      </c>
      <c r="H189" s="59"/>
    </row>
    <row r="190" spans="1:8" ht="16.5" x14ac:dyDescent="0.25">
      <c r="A190" s="60">
        <v>46009</v>
      </c>
      <c r="B190" s="59"/>
      <c r="C190" s="59"/>
      <c r="D190" s="59" t="s">
        <v>250</v>
      </c>
      <c r="E190" s="62"/>
      <c r="F190" s="62">
        <v>15</v>
      </c>
      <c r="G190" s="62">
        <f t="shared" si="16"/>
        <v>40</v>
      </c>
      <c r="H190" s="59"/>
    </row>
    <row r="191" spans="1:8" ht="16.5" x14ac:dyDescent="0.25">
      <c r="A191" s="60">
        <v>46009</v>
      </c>
      <c r="B191" s="59">
        <v>127665</v>
      </c>
      <c r="C191" s="59">
        <v>71981</v>
      </c>
      <c r="D191" s="59" t="s">
        <v>66</v>
      </c>
      <c r="E191" s="62"/>
      <c r="F191" s="62">
        <v>30</v>
      </c>
      <c r="G191" s="62">
        <f t="shared" si="16"/>
        <v>10</v>
      </c>
      <c r="H191" s="59"/>
    </row>
    <row r="192" spans="1:8" ht="16.5" x14ac:dyDescent="0.25">
      <c r="A192" s="74">
        <v>46010</v>
      </c>
      <c r="B192" s="72">
        <v>141267</v>
      </c>
      <c r="C192" s="72"/>
      <c r="D192" s="72" t="s">
        <v>12</v>
      </c>
      <c r="E192" s="73">
        <v>210</v>
      </c>
      <c r="F192" s="73"/>
      <c r="G192" s="73">
        <f t="shared" si="16"/>
        <v>220</v>
      </c>
      <c r="H192" s="72"/>
    </row>
    <row r="193" spans="1:8" ht="16.5" x14ac:dyDescent="0.25">
      <c r="A193" s="60">
        <v>46010</v>
      </c>
      <c r="B193" s="59">
        <v>2287</v>
      </c>
      <c r="C193" s="59">
        <v>71980</v>
      </c>
      <c r="D193" s="59" t="s">
        <v>42</v>
      </c>
      <c r="E193" s="62"/>
      <c r="F193" s="62">
        <v>50</v>
      </c>
      <c r="G193" s="62">
        <f t="shared" si="16"/>
        <v>170</v>
      </c>
      <c r="H193" s="59"/>
    </row>
    <row r="194" spans="1:8" ht="16.5" x14ac:dyDescent="0.25">
      <c r="A194" s="76">
        <v>46010</v>
      </c>
      <c r="B194" s="77"/>
      <c r="C194" s="77"/>
      <c r="D194" s="77" t="s">
        <v>247</v>
      </c>
      <c r="E194" s="79"/>
      <c r="F194" s="79">
        <v>15</v>
      </c>
      <c r="G194" s="79">
        <f t="shared" si="16"/>
        <v>155</v>
      </c>
      <c r="H194" s="77"/>
    </row>
    <row r="195" spans="1:8" ht="16.5" x14ac:dyDescent="0.25">
      <c r="A195" s="60">
        <v>46011</v>
      </c>
      <c r="B195" s="59"/>
      <c r="C195" s="59"/>
      <c r="D195" s="59" t="s">
        <v>13</v>
      </c>
      <c r="E195" s="62"/>
      <c r="F195" s="62">
        <v>20</v>
      </c>
      <c r="G195" s="62">
        <f t="shared" si="16"/>
        <v>135</v>
      </c>
      <c r="H195" s="59"/>
    </row>
    <row r="196" spans="1:8" ht="16.5" x14ac:dyDescent="0.25">
      <c r="A196" s="60">
        <v>46017</v>
      </c>
      <c r="B196" s="59"/>
      <c r="C196" s="59"/>
      <c r="D196" s="59" t="s">
        <v>112</v>
      </c>
      <c r="E196" s="62"/>
      <c r="F196" s="62">
        <v>70</v>
      </c>
      <c r="G196" s="62">
        <f t="shared" si="16"/>
        <v>65</v>
      </c>
      <c r="H196" s="59"/>
    </row>
    <row r="197" spans="1:8" ht="16.5" x14ac:dyDescent="0.25">
      <c r="A197" s="74">
        <v>46017</v>
      </c>
      <c r="B197" s="72">
        <v>141291</v>
      </c>
      <c r="C197" s="72"/>
      <c r="D197" s="72" t="s">
        <v>12</v>
      </c>
      <c r="E197" s="73">
        <v>210</v>
      </c>
      <c r="F197" s="73"/>
      <c r="G197" s="73">
        <f t="shared" ref="G197:G202" si="17">G196+E197-F197</f>
        <v>275</v>
      </c>
      <c r="H197" s="72"/>
    </row>
    <row r="198" spans="1:8" ht="16.5" x14ac:dyDescent="0.25">
      <c r="A198" s="60">
        <v>46017</v>
      </c>
      <c r="B198" s="59">
        <v>113708</v>
      </c>
      <c r="C198" s="59">
        <v>58055</v>
      </c>
      <c r="D198" s="59" t="s">
        <v>56</v>
      </c>
      <c r="E198" s="62"/>
      <c r="F198" s="62">
        <v>70</v>
      </c>
      <c r="G198" s="62">
        <f t="shared" si="17"/>
        <v>205</v>
      </c>
      <c r="H198" s="59"/>
    </row>
    <row r="199" spans="1:8" ht="16.5" x14ac:dyDescent="0.25">
      <c r="A199" s="60">
        <v>46017</v>
      </c>
      <c r="B199" s="59"/>
      <c r="C199" s="59"/>
      <c r="D199" s="77" t="s">
        <v>161</v>
      </c>
      <c r="E199" s="62"/>
      <c r="F199" s="79">
        <v>1</v>
      </c>
      <c r="G199" s="62">
        <f t="shared" si="17"/>
        <v>204</v>
      </c>
      <c r="H199" s="59"/>
    </row>
    <row r="200" spans="1:8" ht="16.5" x14ac:dyDescent="0.25">
      <c r="A200" s="60">
        <v>46018</v>
      </c>
      <c r="B200" s="59">
        <v>2305</v>
      </c>
      <c r="C200" s="59">
        <v>71988</v>
      </c>
      <c r="D200" s="59" t="s">
        <v>42</v>
      </c>
      <c r="E200" s="62"/>
      <c r="F200" s="62">
        <v>50</v>
      </c>
      <c r="G200" s="62">
        <f t="shared" si="17"/>
        <v>154</v>
      </c>
      <c r="H200" s="59"/>
    </row>
    <row r="201" spans="1:8" ht="16.5" x14ac:dyDescent="0.25">
      <c r="A201" s="60">
        <v>46018</v>
      </c>
      <c r="B201" s="59"/>
      <c r="C201" s="59"/>
      <c r="D201" s="59" t="s">
        <v>124</v>
      </c>
      <c r="E201" s="62"/>
      <c r="F201" s="62">
        <v>25</v>
      </c>
      <c r="G201" s="62">
        <f t="shared" si="17"/>
        <v>129</v>
      </c>
      <c r="H201" s="59"/>
    </row>
    <row r="202" spans="1:8" ht="16.5" x14ac:dyDescent="0.25">
      <c r="A202" s="60">
        <v>46018</v>
      </c>
      <c r="B202" s="59">
        <v>205980</v>
      </c>
      <c r="C202" s="59">
        <v>71987</v>
      </c>
      <c r="D202" s="59" t="s">
        <v>46</v>
      </c>
      <c r="E202" s="62"/>
      <c r="F202" s="62">
        <v>10</v>
      </c>
      <c r="G202" s="62">
        <f t="shared" si="17"/>
        <v>119</v>
      </c>
      <c r="H202" s="59"/>
    </row>
    <row r="203" spans="1:8" ht="16.5" x14ac:dyDescent="0.25">
      <c r="A203" s="60">
        <v>46021</v>
      </c>
      <c r="B203" s="59"/>
      <c r="C203" s="59"/>
      <c r="D203" s="77" t="s">
        <v>13</v>
      </c>
      <c r="E203" s="62"/>
      <c r="F203" s="62">
        <v>20</v>
      </c>
      <c r="G203" s="62">
        <f t="shared" ref="G203:G208" si="18">G202+E203-F203</f>
        <v>99</v>
      </c>
      <c r="H203" s="59"/>
    </row>
    <row r="204" spans="1:8" ht="16.5" x14ac:dyDescent="0.25">
      <c r="A204" s="60">
        <v>46022</v>
      </c>
      <c r="B204" s="59"/>
      <c r="C204" s="59"/>
      <c r="D204" s="59" t="s">
        <v>61</v>
      </c>
      <c r="E204" s="62"/>
      <c r="F204" s="62">
        <v>5</v>
      </c>
      <c r="G204" s="62">
        <f t="shared" si="18"/>
        <v>94</v>
      </c>
      <c r="H204" s="59"/>
    </row>
    <row r="205" spans="1:8" ht="16.5" x14ac:dyDescent="0.25">
      <c r="A205" s="60">
        <v>46026</v>
      </c>
      <c r="B205" s="59">
        <v>127600</v>
      </c>
      <c r="C205" s="59">
        <v>71994</v>
      </c>
      <c r="D205" s="59" t="s">
        <v>66</v>
      </c>
      <c r="E205" s="62"/>
      <c r="F205" s="62">
        <v>10</v>
      </c>
      <c r="G205" s="62">
        <f t="shared" si="18"/>
        <v>84</v>
      </c>
      <c r="H205" s="59"/>
    </row>
    <row r="206" spans="1:8" ht="16.5" x14ac:dyDescent="0.25">
      <c r="A206" s="60">
        <v>46026</v>
      </c>
      <c r="B206" s="59"/>
      <c r="C206" s="59"/>
      <c r="D206" s="59" t="s">
        <v>90</v>
      </c>
      <c r="E206" s="62"/>
      <c r="F206" s="62">
        <v>20</v>
      </c>
      <c r="G206" s="62">
        <f t="shared" si="18"/>
        <v>64</v>
      </c>
      <c r="H206" s="59"/>
    </row>
    <row r="207" spans="1:8" ht="16.5" x14ac:dyDescent="0.25">
      <c r="A207" s="60">
        <v>46027</v>
      </c>
      <c r="B207" s="59"/>
      <c r="C207" s="59"/>
      <c r="D207" s="77" t="s">
        <v>13</v>
      </c>
      <c r="E207" s="62"/>
      <c r="F207" s="62">
        <v>20</v>
      </c>
      <c r="G207" s="62">
        <f t="shared" si="18"/>
        <v>44</v>
      </c>
      <c r="H207" s="59"/>
    </row>
    <row r="208" spans="1:8" ht="16.5" x14ac:dyDescent="0.25">
      <c r="A208" s="60">
        <v>46030</v>
      </c>
      <c r="B208" s="59"/>
      <c r="C208" s="59"/>
      <c r="D208" s="59" t="s">
        <v>295</v>
      </c>
      <c r="E208" s="62"/>
      <c r="F208" s="62">
        <v>2</v>
      </c>
      <c r="G208" s="62">
        <f t="shared" si="18"/>
        <v>42</v>
      </c>
      <c r="H208" s="59"/>
    </row>
    <row r="209" spans="1:8" ht="16.5" x14ac:dyDescent="0.25">
      <c r="A209" s="60">
        <v>46030</v>
      </c>
      <c r="B209" s="59"/>
      <c r="C209" s="59"/>
      <c r="D209" s="59" t="s">
        <v>124</v>
      </c>
      <c r="E209" s="62"/>
      <c r="F209" s="62">
        <v>40</v>
      </c>
      <c r="G209" s="62">
        <f t="shared" ref="G209:G244" si="19">G208+E209-F209</f>
        <v>2</v>
      </c>
      <c r="H209" s="59"/>
    </row>
    <row r="210" spans="1:8" ht="16.5" x14ac:dyDescent="0.25">
      <c r="A210" s="74">
        <v>46030</v>
      </c>
      <c r="B210" s="72">
        <v>142453</v>
      </c>
      <c r="C210" s="72"/>
      <c r="D210" s="72" t="s">
        <v>12</v>
      </c>
      <c r="E210" s="73">
        <v>210</v>
      </c>
      <c r="F210" s="73"/>
      <c r="G210" s="73">
        <f t="shared" si="19"/>
        <v>212</v>
      </c>
      <c r="H210" s="72"/>
    </row>
    <row r="211" spans="1:8" ht="16.5" x14ac:dyDescent="0.25">
      <c r="A211" s="60">
        <v>46030</v>
      </c>
      <c r="B211" s="59"/>
      <c r="C211" s="59"/>
      <c r="D211" s="59" t="s">
        <v>239</v>
      </c>
      <c r="E211" s="62"/>
      <c r="F211" s="62">
        <v>40</v>
      </c>
      <c r="G211" s="62">
        <f t="shared" si="19"/>
        <v>172</v>
      </c>
      <c r="H211" s="59"/>
    </row>
    <row r="212" spans="1:8" ht="16.5" x14ac:dyDescent="0.25">
      <c r="A212" s="60">
        <v>46032</v>
      </c>
      <c r="B212" s="59"/>
      <c r="C212" s="59"/>
      <c r="D212" s="59" t="s">
        <v>239</v>
      </c>
      <c r="E212" s="62"/>
      <c r="F212" s="62">
        <v>20</v>
      </c>
      <c r="G212" s="62">
        <f t="shared" si="19"/>
        <v>152</v>
      </c>
      <c r="H212" s="59"/>
    </row>
    <row r="213" spans="1:8" ht="16.5" x14ac:dyDescent="0.25">
      <c r="A213" s="60">
        <v>46032</v>
      </c>
      <c r="B213" s="59"/>
      <c r="C213" s="59">
        <v>64997</v>
      </c>
      <c r="D213" s="59" t="s">
        <v>301</v>
      </c>
      <c r="E213" s="62"/>
      <c r="F213" s="62">
        <v>5</v>
      </c>
      <c r="G213" s="62">
        <f t="shared" si="19"/>
        <v>147</v>
      </c>
      <c r="H213" s="59"/>
    </row>
    <row r="214" spans="1:8" ht="16.5" x14ac:dyDescent="0.25">
      <c r="A214" s="60">
        <v>46033</v>
      </c>
      <c r="B214" s="59"/>
      <c r="C214" s="59"/>
      <c r="D214" s="59" t="s">
        <v>303</v>
      </c>
      <c r="E214" s="62"/>
      <c r="F214" s="62">
        <v>30</v>
      </c>
      <c r="G214" s="62">
        <f t="shared" si="19"/>
        <v>117</v>
      </c>
      <c r="H214" s="59"/>
    </row>
    <row r="215" spans="1:8" ht="16.5" x14ac:dyDescent="0.25">
      <c r="A215" s="60">
        <v>46033</v>
      </c>
      <c r="B215" s="59">
        <v>205986</v>
      </c>
      <c r="C215" s="59">
        <v>64998</v>
      </c>
      <c r="D215" s="59" t="s">
        <v>46</v>
      </c>
      <c r="E215" s="62"/>
      <c r="F215" s="62">
        <v>40</v>
      </c>
      <c r="G215" s="62">
        <f t="shared" si="19"/>
        <v>77</v>
      </c>
      <c r="H215" s="59"/>
    </row>
    <row r="216" spans="1:8" s="6" customFormat="1" ht="16.5" x14ac:dyDescent="0.25">
      <c r="A216" s="75">
        <v>46040</v>
      </c>
      <c r="B216" s="78"/>
      <c r="C216" s="78"/>
      <c r="D216" s="78" t="s">
        <v>107</v>
      </c>
      <c r="E216" s="80"/>
      <c r="F216" s="80">
        <v>20</v>
      </c>
      <c r="G216" s="62">
        <f t="shared" si="19"/>
        <v>57</v>
      </c>
      <c r="H216" s="78"/>
    </row>
    <row r="217" spans="1:8" ht="16.5" x14ac:dyDescent="0.25">
      <c r="A217" s="74">
        <v>46040</v>
      </c>
      <c r="B217" s="72">
        <v>142467</v>
      </c>
      <c r="C217" s="72"/>
      <c r="D217" s="72" t="s">
        <v>12</v>
      </c>
      <c r="E217" s="73">
        <v>210</v>
      </c>
      <c r="F217" s="73"/>
      <c r="G217" s="73">
        <f t="shared" si="19"/>
        <v>267</v>
      </c>
      <c r="H217" s="72"/>
    </row>
    <row r="218" spans="1:8" ht="16.5" x14ac:dyDescent="0.25">
      <c r="A218" s="60">
        <v>46040</v>
      </c>
      <c r="B218" s="59"/>
      <c r="C218" s="59"/>
      <c r="D218" s="77" t="s">
        <v>13</v>
      </c>
      <c r="E218" s="62"/>
      <c r="F218" s="62">
        <v>210</v>
      </c>
      <c r="G218" s="62">
        <f t="shared" si="19"/>
        <v>57</v>
      </c>
      <c r="H218" s="59"/>
    </row>
    <row r="219" spans="1:8" ht="16.5" x14ac:dyDescent="0.25">
      <c r="A219" s="60">
        <v>46040</v>
      </c>
      <c r="B219" s="59">
        <v>2420</v>
      </c>
      <c r="C219" s="59">
        <v>58067</v>
      </c>
      <c r="D219" s="59" t="s">
        <v>42</v>
      </c>
      <c r="E219" s="62"/>
      <c r="F219" s="62">
        <v>50</v>
      </c>
      <c r="G219" s="62">
        <f t="shared" si="19"/>
        <v>7</v>
      </c>
      <c r="H219" s="59"/>
    </row>
    <row r="220" spans="1:8" ht="16.5" x14ac:dyDescent="0.25">
      <c r="A220" s="74">
        <v>46042</v>
      </c>
      <c r="B220" s="72">
        <v>142471</v>
      </c>
      <c r="C220" s="72"/>
      <c r="D220" s="72" t="s">
        <v>12</v>
      </c>
      <c r="E220" s="73">
        <v>210</v>
      </c>
      <c r="F220" s="73"/>
      <c r="G220" s="73">
        <f t="shared" si="19"/>
        <v>217</v>
      </c>
      <c r="H220" s="72"/>
    </row>
    <row r="221" spans="1:8" ht="16.5" x14ac:dyDescent="0.25">
      <c r="A221" s="60">
        <v>46042</v>
      </c>
      <c r="B221" s="59"/>
      <c r="C221" s="59"/>
      <c r="D221" s="59" t="s">
        <v>317</v>
      </c>
      <c r="E221" s="62"/>
      <c r="F221" s="62">
        <v>2</v>
      </c>
      <c r="G221" s="62">
        <f t="shared" si="19"/>
        <v>215</v>
      </c>
      <c r="H221" s="59"/>
    </row>
    <row r="222" spans="1:8" ht="16.5" x14ac:dyDescent="0.25">
      <c r="A222" s="60">
        <v>46042</v>
      </c>
      <c r="B222" s="59"/>
      <c r="C222" s="59"/>
      <c r="D222" s="59" t="s">
        <v>95</v>
      </c>
      <c r="E222" s="62"/>
      <c r="F222" s="62">
        <v>5</v>
      </c>
      <c r="G222" s="62">
        <f t="shared" si="19"/>
        <v>210</v>
      </c>
      <c r="H222" s="59"/>
    </row>
    <row r="223" spans="1:8" ht="16.5" x14ac:dyDescent="0.25">
      <c r="A223" s="60">
        <v>46042</v>
      </c>
      <c r="B223" s="59"/>
      <c r="C223" s="59"/>
      <c r="D223" s="59" t="s">
        <v>41</v>
      </c>
      <c r="E223" s="62"/>
      <c r="F223" s="62">
        <v>40</v>
      </c>
      <c r="G223" s="62">
        <f t="shared" si="19"/>
        <v>170</v>
      </c>
      <c r="H223" s="59"/>
    </row>
    <row r="224" spans="1:8" ht="16.5" x14ac:dyDescent="0.25">
      <c r="A224" s="60">
        <v>46043</v>
      </c>
      <c r="B224" s="59"/>
      <c r="C224" s="59"/>
      <c r="D224" s="59" t="s">
        <v>116</v>
      </c>
      <c r="E224" s="62"/>
      <c r="F224" s="62">
        <v>5</v>
      </c>
      <c r="G224" s="62">
        <f t="shared" si="19"/>
        <v>165</v>
      </c>
      <c r="H224" s="59"/>
    </row>
    <row r="225" spans="1:8" ht="16.5" x14ac:dyDescent="0.25">
      <c r="A225" s="60">
        <v>46044</v>
      </c>
      <c r="B225" s="59"/>
      <c r="C225" s="59"/>
      <c r="D225" s="59" t="s">
        <v>319</v>
      </c>
      <c r="E225" s="62"/>
      <c r="F225" s="62">
        <v>5</v>
      </c>
      <c r="G225" s="62">
        <f t="shared" si="19"/>
        <v>160</v>
      </c>
      <c r="H225" s="59"/>
    </row>
    <row r="226" spans="1:8" ht="16.5" x14ac:dyDescent="0.25">
      <c r="A226" s="60">
        <v>46046</v>
      </c>
      <c r="B226" s="59"/>
      <c r="C226" s="59"/>
      <c r="D226" s="59" t="s">
        <v>319</v>
      </c>
      <c r="E226" s="62"/>
      <c r="F226" s="62">
        <v>10</v>
      </c>
      <c r="G226" s="62">
        <f t="shared" si="19"/>
        <v>150</v>
      </c>
      <c r="H226" s="59"/>
    </row>
    <row r="227" spans="1:8" ht="16.5" x14ac:dyDescent="0.25">
      <c r="A227" s="60">
        <v>46047</v>
      </c>
      <c r="B227" s="59">
        <v>2468</v>
      </c>
      <c r="C227" s="59">
        <v>64367</v>
      </c>
      <c r="D227" s="59" t="s">
        <v>149</v>
      </c>
      <c r="E227" s="62"/>
      <c r="F227" s="62">
        <v>70</v>
      </c>
      <c r="G227" s="62">
        <f t="shared" si="19"/>
        <v>80</v>
      </c>
      <c r="H227" s="59"/>
    </row>
    <row r="228" spans="1:8" ht="16.5" x14ac:dyDescent="0.25">
      <c r="A228" s="60">
        <v>46048</v>
      </c>
      <c r="B228" s="59">
        <v>2477</v>
      </c>
      <c r="C228" s="59">
        <v>64372</v>
      </c>
      <c r="D228" s="59" t="s">
        <v>66</v>
      </c>
      <c r="E228" s="62"/>
      <c r="F228" s="62">
        <v>20</v>
      </c>
      <c r="G228" s="62">
        <f t="shared" si="19"/>
        <v>60</v>
      </c>
      <c r="H228" s="59"/>
    </row>
    <row r="229" spans="1:8" ht="16.5" x14ac:dyDescent="0.25">
      <c r="A229" s="60">
        <v>46048</v>
      </c>
      <c r="B229" s="59"/>
      <c r="C229" s="59"/>
      <c r="D229" s="59" t="s">
        <v>250</v>
      </c>
      <c r="E229" s="62"/>
      <c r="F229" s="62">
        <v>5</v>
      </c>
      <c r="G229" s="62">
        <f t="shared" si="19"/>
        <v>55</v>
      </c>
      <c r="H229" s="59"/>
    </row>
    <row r="230" spans="1:8" ht="16.5" x14ac:dyDescent="0.25">
      <c r="A230" s="60">
        <v>46048</v>
      </c>
      <c r="B230" s="59"/>
      <c r="C230" s="59"/>
      <c r="D230" s="59" t="s">
        <v>61</v>
      </c>
      <c r="E230" s="62"/>
      <c r="F230" s="62">
        <v>2</v>
      </c>
      <c r="G230" s="62">
        <f t="shared" si="19"/>
        <v>53</v>
      </c>
      <c r="H230" s="59"/>
    </row>
    <row r="231" spans="1:8" ht="16.5" x14ac:dyDescent="0.25">
      <c r="A231" s="60">
        <v>46058</v>
      </c>
      <c r="B231" s="59"/>
      <c r="C231" s="59"/>
      <c r="D231" s="59" t="s">
        <v>315</v>
      </c>
      <c r="E231" s="62"/>
      <c r="F231" s="62">
        <v>0.25</v>
      </c>
      <c r="G231" s="62">
        <f t="shared" si="19"/>
        <v>52.75</v>
      </c>
      <c r="H231" s="59"/>
    </row>
    <row r="232" spans="1:8" ht="16.5" x14ac:dyDescent="0.25">
      <c r="A232" s="60">
        <v>46060</v>
      </c>
      <c r="B232" s="59">
        <v>2526</v>
      </c>
      <c r="C232" s="59"/>
      <c r="D232" s="59" t="s">
        <v>337</v>
      </c>
      <c r="E232" s="62"/>
      <c r="F232" s="62">
        <v>30</v>
      </c>
      <c r="G232" s="62">
        <f t="shared" si="19"/>
        <v>22.75</v>
      </c>
      <c r="H232" s="59"/>
    </row>
    <row r="233" spans="1:8" ht="16.5" x14ac:dyDescent="0.25">
      <c r="A233" s="60">
        <v>46063</v>
      </c>
      <c r="B233" s="59"/>
      <c r="C233" s="59"/>
      <c r="D233" s="59" t="s">
        <v>338</v>
      </c>
      <c r="E233" s="62"/>
      <c r="F233" s="62">
        <v>20</v>
      </c>
      <c r="G233" s="62">
        <f t="shared" si="19"/>
        <v>2.75</v>
      </c>
      <c r="H233" s="59"/>
    </row>
    <row r="234" spans="1:8" ht="16.5" x14ac:dyDescent="0.25">
      <c r="A234" s="74">
        <v>46066</v>
      </c>
      <c r="B234" s="72">
        <v>142497</v>
      </c>
      <c r="C234" s="72"/>
      <c r="D234" s="72" t="s">
        <v>12</v>
      </c>
      <c r="E234" s="73">
        <v>210</v>
      </c>
      <c r="F234" s="73"/>
      <c r="G234" s="73">
        <f t="shared" si="19"/>
        <v>212.75</v>
      </c>
      <c r="H234" s="72"/>
    </row>
    <row r="235" spans="1:8" ht="16.5" x14ac:dyDescent="0.25">
      <c r="A235" s="60">
        <v>46066</v>
      </c>
      <c r="B235" s="59"/>
      <c r="C235" s="59"/>
      <c r="D235" s="59" t="s">
        <v>315</v>
      </c>
      <c r="E235" s="62"/>
      <c r="F235" s="62">
        <v>140</v>
      </c>
      <c r="G235" s="62">
        <f t="shared" si="19"/>
        <v>72.75</v>
      </c>
      <c r="H235" s="59"/>
    </row>
    <row r="236" spans="1:8" ht="16.5" x14ac:dyDescent="0.25">
      <c r="A236" s="60">
        <v>46069</v>
      </c>
      <c r="B236" s="59"/>
      <c r="C236" s="59"/>
      <c r="D236" s="59" t="s">
        <v>61</v>
      </c>
      <c r="E236" s="62"/>
      <c r="F236" s="62">
        <v>3.5</v>
      </c>
      <c r="G236" s="62">
        <f t="shared" si="19"/>
        <v>69.25</v>
      </c>
      <c r="H236" s="59"/>
    </row>
    <row r="237" spans="1:8" ht="16.5" x14ac:dyDescent="0.25">
      <c r="A237" s="60">
        <v>46069</v>
      </c>
      <c r="B237" s="59"/>
      <c r="C237" s="59"/>
      <c r="D237" s="59" t="s">
        <v>90</v>
      </c>
      <c r="E237" s="62"/>
      <c r="F237" s="62">
        <v>30</v>
      </c>
      <c r="G237" s="62">
        <f t="shared" si="19"/>
        <v>39.25</v>
      </c>
      <c r="H237" s="59"/>
    </row>
    <row r="238" spans="1:8" ht="16.5" x14ac:dyDescent="0.25">
      <c r="A238" s="74">
        <v>46070</v>
      </c>
      <c r="B238" s="72">
        <v>140803</v>
      </c>
      <c r="C238" s="72"/>
      <c r="D238" s="72" t="s">
        <v>12</v>
      </c>
      <c r="E238" s="73">
        <v>210</v>
      </c>
      <c r="F238" s="73"/>
      <c r="G238" s="73">
        <f t="shared" si="19"/>
        <v>249.25</v>
      </c>
      <c r="H238" s="72"/>
    </row>
    <row r="239" spans="1:8" ht="16.5" x14ac:dyDescent="0.25">
      <c r="A239" s="60">
        <v>46070</v>
      </c>
      <c r="B239" s="59">
        <v>114857</v>
      </c>
      <c r="C239" s="59">
        <v>64389</v>
      </c>
      <c r="D239" s="59" t="s">
        <v>350</v>
      </c>
      <c r="E239" s="62"/>
      <c r="F239" s="62">
        <v>5</v>
      </c>
      <c r="G239" s="62">
        <f t="shared" si="19"/>
        <v>244.25</v>
      </c>
      <c r="H239" s="59"/>
    </row>
    <row r="240" spans="1:8" ht="16.5" x14ac:dyDescent="0.25">
      <c r="A240" s="60">
        <v>46070</v>
      </c>
      <c r="B240" s="59">
        <v>2559</v>
      </c>
      <c r="C240" s="59">
        <v>64390</v>
      </c>
      <c r="D240" s="59" t="s">
        <v>351</v>
      </c>
      <c r="E240" s="62"/>
      <c r="F240" s="62">
        <v>50</v>
      </c>
      <c r="G240" s="62">
        <f t="shared" si="19"/>
        <v>194.25</v>
      </c>
      <c r="H240" s="59"/>
    </row>
    <row r="241" spans="1:8" ht="16.5" x14ac:dyDescent="0.25">
      <c r="A241" s="60">
        <v>46070</v>
      </c>
      <c r="B241" s="59">
        <v>2653</v>
      </c>
      <c r="C241" s="59">
        <v>64391</v>
      </c>
      <c r="D241" s="59" t="s">
        <v>46</v>
      </c>
      <c r="E241" s="62"/>
      <c r="F241" s="62">
        <v>20</v>
      </c>
      <c r="G241" s="62">
        <f t="shared" si="19"/>
        <v>174.25</v>
      </c>
      <c r="H241" s="59"/>
    </row>
    <row r="242" spans="1:8" ht="16.5" x14ac:dyDescent="0.25">
      <c r="A242" s="60">
        <v>46070</v>
      </c>
      <c r="B242" s="59"/>
      <c r="C242" s="59"/>
      <c r="D242" s="59" t="s">
        <v>153</v>
      </c>
      <c r="E242" s="62"/>
      <c r="F242" s="62">
        <v>40</v>
      </c>
      <c r="G242" s="62">
        <f t="shared" si="19"/>
        <v>134.25</v>
      </c>
      <c r="H242" s="59"/>
    </row>
    <row r="243" spans="1:8" ht="16.5" x14ac:dyDescent="0.25">
      <c r="A243" s="60">
        <v>46072</v>
      </c>
      <c r="B243" s="59"/>
      <c r="C243" s="59"/>
      <c r="D243" s="59" t="s">
        <v>356</v>
      </c>
      <c r="E243" s="62"/>
      <c r="F243" s="62">
        <v>6</v>
      </c>
      <c r="G243" s="62">
        <f t="shared" si="19"/>
        <v>128.25</v>
      </c>
      <c r="H243" s="59"/>
    </row>
    <row r="244" spans="1:8" ht="16.5" x14ac:dyDescent="0.25">
      <c r="A244" s="60">
        <v>46072</v>
      </c>
      <c r="B244" s="59"/>
      <c r="C244" s="59"/>
      <c r="D244" s="59" t="s">
        <v>356</v>
      </c>
      <c r="E244" s="62"/>
      <c r="F244" s="62">
        <v>3</v>
      </c>
      <c r="G244" s="62">
        <f t="shared" si="19"/>
        <v>125.25</v>
      </c>
      <c r="H244" s="59"/>
    </row>
    <row r="245" spans="1:8" ht="16.5" x14ac:dyDescent="0.25">
      <c r="A245" s="60">
        <v>46072</v>
      </c>
      <c r="B245" s="59">
        <v>110808</v>
      </c>
      <c r="C245" s="59">
        <v>58085</v>
      </c>
      <c r="D245" s="59" t="s">
        <v>178</v>
      </c>
      <c r="E245" s="62"/>
      <c r="F245" s="62">
        <v>10</v>
      </c>
      <c r="G245" s="62">
        <f t="shared" ref="G245:G257" si="20">G244+E245-F245</f>
        <v>115.25</v>
      </c>
      <c r="H245" s="59"/>
    </row>
    <row r="246" spans="1:8" ht="16.5" x14ac:dyDescent="0.25">
      <c r="A246" s="60">
        <v>46076</v>
      </c>
      <c r="B246" s="59"/>
      <c r="C246" s="59"/>
      <c r="D246" s="59" t="s">
        <v>342</v>
      </c>
      <c r="E246" s="62"/>
      <c r="F246" s="62">
        <v>40</v>
      </c>
      <c r="G246" s="62">
        <f t="shared" si="20"/>
        <v>75.25</v>
      </c>
      <c r="H246" s="59"/>
    </row>
    <row r="247" spans="1:8" ht="16.5" x14ac:dyDescent="0.25">
      <c r="A247" s="60">
        <v>46076</v>
      </c>
      <c r="B247" s="59"/>
      <c r="C247" s="59"/>
      <c r="D247" s="59" t="s">
        <v>358</v>
      </c>
      <c r="E247" s="62"/>
      <c r="F247" s="62">
        <v>30</v>
      </c>
      <c r="G247" s="62">
        <f t="shared" si="20"/>
        <v>45.25</v>
      </c>
      <c r="H247" s="59"/>
    </row>
    <row r="248" spans="1:8" ht="16.5" x14ac:dyDescent="0.25">
      <c r="A248" s="60">
        <v>46077</v>
      </c>
      <c r="B248" s="59"/>
      <c r="C248" s="59"/>
      <c r="D248" s="59" t="s">
        <v>69</v>
      </c>
      <c r="E248" s="62"/>
      <c r="F248" s="62">
        <v>40</v>
      </c>
      <c r="G248" s="62">
        <f t="shared" si="20"/>
        <v>5.25</v>
      </c>
      <c r="H248" s="59"/>
    </row>
    <row r="249" spans="1:8" ht="16.5" x14ac:dyDescent="0.25">
      <c r="A249" s="74">
        <v>46077</v>
      </c>
      <c r="B249" s="72">
        <v>140810</v>
      </c>
      <c r="C249" s="72"/>
      <c r="D249" s="72" t="s">
        <v>12</v>
      </c>
      <c r="E249" s="73">
        <v>210</v>
      </c>
      <c r="F249" s="73"/>
      <c r="G249" s="73">
        <f t="shared" si="20"/>
        <v>215.25</v>
      </c>
      <c r="H249" s="72"/>
    </row>
    <row r="250" spans="1:8" ht="16.5" x14ac:dyDescent="0.25">
      <c r="A250" s="60">
        <v>46077</v>
      </c>
      <c r="B250" s="59"/>
      <c r="C250" s="59"/>
      <c r="D250" s="59" t="s">
        <v>359</v>
      </c>
      <c r="E250" s="62"/>
      <c r="F250" s="62">
        <v>10</v>
      </c>
      <c r="G250" s="62">
        <f t="shared" si="20"/>
        <v>205.25</v>
      </c>
      <c r="H250" s="59"/>
    </row>
    <row r="251" spans="1:8" ht="16.5" x14ac:dyDescent="0.25">
      <c r="A251" s="60">
        <v>46079</v>
      </c>
      <c r="B251" s="59"/>
      <c r="C251" s="59"/>
      <c r="D251" s="59" t="s">
        <v>239</v>
      </c>
      <c r="E251" s="62"/>
      <c r="F251" s="62">
        <v>50</v>
      </c>
      <c r="G251" s="62">
        <f t="shared" si="20"/>
        <v>155.25</v>
      </c>
      <c r="H251" s="59"/>
    </row>
    <row r="252" spans="1:8" ht="16.5" x14ac:dyDescent="0.25">
      <c r="A252" s="60">
        <v>46079</v>
      </c>
      <c r="B252" s="59">
        <v>2700</v>
      </c>
      <c r="C252" s="59">
        <v>58087</v>
      </c>
      <c r="D252" s="59" t="s">
        <v>42</v>
      </c>
      <c r="E252" s="62"/>
      <c r="F252" s="62">
        <v>30</v>
      </c>
      <c r="G252" s="62">
        <f t="shared" si="20"/>
        <v>125.25</v>
      </c>
      <c r="H252" s="59"/>
    </row>
    <row r="253" spans="1:8" ht="16.5" x14ac:dyDescent="0.25">
      <c r="A253" s="74">
        <v>46079</v>
      </c>
      <c r="B253" s="72"/>
      <c r="C253" s="72">
        <v>49661</v>
      </c>
      <c r="D253" s="72" t="s">
        <v>363</v>
      </c>
      <c r="E253" s="73">
        <v>10</v>
      </c>
      <c r="F253" s="73"/>
      <c r="G253" s="73">
        <f t="shared" si="20"/>
        <v>135.25</v>
      </c>
      <c r="H253" s="72"/>
    </row>
    <row r="254" spans="1:8" ht="16.5" x14ac:dyDescent="0.25">
      <c r="A254" s="60">
        <v>46081</v>
      </c>
      <c r="B254" s="59">
        <v>174692</v>
      </c>
      <c r="C254" s="59">
        <v>644000</v>
      </c>
      <c r="D254" s="59" t="s">
        <v>368</v>
      </c>
      <c r="E254" s="62"/>
      <c r="F254" s="62">
        <v>10</v>
      </c>
      <c r="G254" s="62">
        <f t="shared" si="20"/>
        <v>125.25</v>
      </c>
      <c r="H254" s="59"/>
    </row>
    <row r="255" spans="1:8" ht="16.5" x14ac:dyDescent="0.25">
      <c r="A255" s="60">
        <v>46085</v>
      </c>
      <c r="B255" s="59"/>
      <c r="C255" s="59"/>
      <c r="D255" s="59" t="s">
        <v>319</v>
      </c>
      <c r="E255" s="62"/>
      <c r="F255" s="62">
        <v>10</v>
      </c>
      <c r="G255" s="62">
        <f t="shared" si="20"/>
        <v>115.25</v>
      </c>
      <c r="H255" s="59"/>
    </row>
    <row r="256" spans="1:8" ht="16.5" x14ac:dyDescent="0.25">
      <c r="A256" s="60">
        <v>46087</v>
      </c>
      <c r="B256" s="59"/>
      <c r="C256" s="59"/>
      <c r="D256" s="59" t="s">
        <v>382</v>
      </c>
      <c r="E256" s="62"/>
      <c r="F256" s="62">
        <v>11</v>
      </c>
      <c r="G256" s="62">
        <f t="shared" si="20"/>
        <v>104.25</v>
      </c>
      <c r="H256" s="59"/>
    </row>
    <row r="257" spans="1:10" ht="16.5" x14ac:dyDescent="0.25">
      <c r="A257" s="60">
        <v>46088</v>
      </c>
      <c r="B257" s="59"/>
      <c r="C257" s="59"/>
      <c r="D257" s="59" t="s">
        <v>371</v>
      </c>
      <c r="E257" s="62"/>
      <c r="F257" s="62">
        <v>5</v>
      </c>
      <c r="G257" s="62">
        <f t="shared" si="20"/>
        <v>99.25</v>
      </c>
      <c r="H257" s="59"/>
    </row>
    <row r="258" spans="1:10" ht="16.5" x14ac:dyDescent="0.25">
      <c r="A258" s="74">
        <v>46090</v>
      </c>
      <c r="B258" s="72">
        <v>140820</v>
      </c>
      <c r="C258" s="72"/>
      <c r="D258" s="72" t="s">
        <v>12</v>
      </c>
      <c r="E258" s="73">
        <v>210</v>
      </c>
      <c r="F258" s="73"/>
      <c r="G258" s="73">
        <f t="shared" ref="G258:G272" si="21">G257+E258-F258</f>
        <v>309.25</v>
      </c>
      <c r="H258" s="72"/>
    </row>
    <row r="259" spans="1:10" ht="16.5" x14ac:dyDescent="0.25">
      <c r="A259" s="60">
        <v>46090</v>
      </c>
      <c r="B259" s="59"/>
      <c r="C259" s="59"/>
      <c r="D259" s="59" t="s">
        <v>76</v>
      </c>
      <c r="E259" s="62"/>
      <c r="F259" s="62">
        <v>145</v>
      </c>
      <c r="G259" s="62">
        <f t="shared" si="21"/>
        <v>164.25</v>
      </c>
      <c r="H259" s="59"/>
      <c r="J259">
        <f>49.25-11</f>
        <v>38.25</v>
      </c>
    </row>
    <row r="260" spans="1:10" ht="16.5" x14ac:dyDescent="0.25">
      <c r="A260" s="60">
        <v>46091</v>
      </c>
      <c r="B260" s="59">
        <v>2560</v>
      </c>
      <c r="C260" s="59">
        <v>58099</v>
      </c>
      <c r="D260" s="78" t="s">
        <v>377</v>
      </c>
      <c r="E260" s="62"/>
      <c r="F260" s="62">
        <v>50</v>
      </c>
      <c r="G260" s="62">
        <f t="shared" si="21"/>
        <v>114.25</v>
      </c>
      <c r="H260" s="59"/>
    </row>
    <row r="261" spans="1:10" ht="16.5" x14ac:dyDescent="0.25">
      <c r="A261" s="60">
        <v>46091</v>
      </c>
      <c r="B261" s="59">
        <v>2700</v>
      </c>
      <c r="C261" s="59">
        <v>58100</v>
      </c>
      <c r="D261" s="59" t="s">
        <v>378</v>
      </c>
      <c r="E261" s="62"/>
      <c r="F261" s="62">
        <v>30</v>
      </c>
      <c r="G261" s="62">
        <f t="shared" si="21"/>
        <v>84.25</v>
      </c>
      <c r="H261" s="59"/>
    </row>
    <row r="262" spans="1:10" ht="16.5" x14ac:dyDescent="0.25">
      <c r="A262" s="60">
        <v>46092</v>
      </c>
      <c r="B262" s="59">
        <v>110810</v>
      </c>
      <c r="C262" s="59">
        <v>57852</v>
      </c>
      <c r="D262" s="59" t="s">
        <v>219</v>
      </c>
      <c r="E262" s="62"/>
      <c r="F262" s="62">
        <v>4</v>
      </c>
      <c r="G262" s="62">
        <f t="shared" si="21"/>
        <v>80.25</v>
      </c>
      <c r="H262" s="59"/>
    </row>
    <row r="263" spans="1:10" ht="16.5" x14ac:dyDescent="0.25">
      <c r="A263" s="60">
        <v>46094</v>
      </c>
      <c r="B263" s="59"/>
      <c r="C263" s="59"/>
      <c r="D263" s="59" t="s">
        <v>213</v>
      </c>
      <c r="E263" s="62"/>
      <c r="F263" s="62">
        <v>2</v>
      </c>
      <c r="G263" s="62">
        <f t="shared" si="21"/>
        <v>78.25</v>
      </c>
      <c r="H263" s="59"/>
    </row>
    <row r="264" spans="1:10" ht="16.5" x14ac:dyDescent="0.25">
      <c r="A264" s="60">
        <v>46094</v>
      </c>
      <c r="B264" s="59">
        <v>141052</v>
      </c>
      <c r="C264" s="59">
        <v>64203</v>
      </c>
      <c r="D264" s="59" t="s">
        <v>108</v>
      </c>
      <c r="E264" s="62"/>
      <c r="F264" s="62">
        <v>40</v>
      </c>
      <c r="G264" s="62">
        <f t="shared" si="21"/>
        <v>38.25</v>
      </c>
      <c r="H264" s="59"/>
    </row>
    <row r="265" spans="1:10" ht="16.5" x14ac:dyDescent="0.25">
      <c r="A265" s="60">
        <v>46096</v>
      </c>
      <c r="B265" s="59"/>
      <c r="C265" s="59"/>
      <c r="D265" s="59" t="s">
        <v>24</v>
      </c>
      <c r="E265" s="62"/>
      <c r="F265" s="62">
        <v>8</v>
      </c>
      <c r="G265" s="62">
        <f t="shared" si="21"/>
        <v>30.25</v>
      </c>
      <c r="H265" s="59"/>
    </row>
    <row r="266" spans="1:10" ht="16.5" x14ac:dyDescent="0.25">
      <c r="A266" s="74">
        <v>46098</v>
      </c>
      <c r="B266" s="72">
        <v>140824</v>
      </c>
      <c r="C266" s="72"/>
      <c r="D266" s="72" t="s">
        <v>12</v>
      </c>
      <c r="E266" s="73">
        <v>210</v>
      </c>
      <c r="F266" s="73"/>
      <c r="G266" s="73">
        <f t="shared" si="21"/>
        <v>240.25</v>
      </c>
      <c r="H266" s="72"/>
    </row>
    <row r="267" spans="1:10" ht="16.5" x14ac:dyDescent="0.25">
      <c r="A267" s="60">
        <v>46098</v>
      </c>
      <c r="B267" s="59"/>
      <c r="C267" s="59"/>
      <c r="D267" s="59" t="s">
        <v>239</v>
      </c>
      <c r="E267" s="62"/>
      <c r="F267" s="62">
        <v>90</v>
      </c>
      <c r="G267" s="62">
        <f t="shared" si="21"/>
        <v>150.25</v>
      </c>
      <c r="H267" s="59"/>
    </row>
    <row r="268" spans="1:10" ht="16.5" x14ac:dyDescent="0.25">
      <c r="A268" s="60">
        <v>46099</v>
      </c>
      <c r="B268" s="59"/>
      <c r="C268" s="59"/>
      <c r="D268" s="59" t="s">
        <v>107</v>
      </c>
      <c r="E268" s="62"/>
      <c r="F268" s="62">
        <v>16</v>
      </c>
      <c r="G268" s="62">
        <f t="shared" si="21"/>
        <v>134.25</v>
      </c>
      <c r="H268" s="59"/>
    </row>
    <row r="269" spans="1:10" ht="16.5" x14ac:dyDescent="0.25">
      <c r="A269" s="60">
        <v>46102</v>
      </c>
      <c r="B269" s="59"/>
      <c r="C269" s="59"/>
      <c r="D269" s="59" t="s">
        <v>386</v>
      </c>
      <c r="E269" s="62"/>
      <c r="F269" s="62">
        <v>70</v>
      </c>
      <c r="G269" s="62">
        <f t="shared" si="21"/>
        <v>64.25</v>
      </c>
      <c r="H269" s="59"/>
    </row>
    <row r="270" spans="1:10" ht="16.5" x14ac:dyDescent="0.25">
      <c r="A270" s="60">
        <v>46104</v>
      </c>
      <c r="B270" s="59"/>
      <c r="C270" s="59"/>
      <c r="D270" s="59" t="s">
        <v>319</v>
      </c>
      <c r="E270" s="62"/>
      <c r="F270" s="62">
        <v>15</v>
      </c>
      <c r="G270" s="62">
        <f t="shared" si="21"/>
        <v>49.25</v>
      </c>
      <c r="H270" s="59"/>
    </row>
    <row r="271" spans="1:10" ht="16.5" x14ac:dyDescent="0.25">
      <c r="A271" s="60">
        <v>46105</v>
      </c>
      <c r="B271" s="59">
        <v>2878</v>
      </c>
      <c r="C271" s="59">
        <v>57858</v>
      </c>
      <c r="D271" s="59" t="s">
        <v>66</v>
      </c>
      <c r="E271" s="62"/>
      <c r="F271" s="62">
        <v>20</v>
      </c>
      <c r="G271" s="62">
        <f t="shared" si="21"/>
        <v>29.25</v>
      </c>
      <c r="H271" s="59"/>
    </row>
    <row r="272" spans="1:10" ht="16.5" x14ac:dyDescent="0.25">
      <c r="A272" s="60">
        <v>46105</v>
      </c>
      <c r="B272" s="59"/>
      <c r="C272" s="59"/>
      <c r="D272" s="59" t="s">
        <v>61</v>
      </c>
      <c r="E272" s="62"/>
      <c r="F272" s="62">
        <v>7</v>
      </c>
      <c r="G272" s="62">
        <f t="shared" si="21"/>
        <v>22.25</v>
      </c>
      <c r="H272" s="59"/>
    </row>
    <row r="273" spans="1:8" ht="16.5" x14ac:dyDescent="0.25">
      <c r="A273" s="60">
        <v>46105</v>
      </c>
      <c r="B273" s="59">
        <v>2526</v>
      </c>
      <c r="C273" s="59"/>
      <c r="D273" s="59" t="s">
        <v>258</v>
      </c>
      <c r="E273" s="62"/>
      <c r="F273" s="62">
        <v>20</v>
      </c>
      <c r="G273" s="62">
        <f>G272+E273-F273</f>
        <v>2.25</v>
      </c>
      <c r="H273" s="59"/>
    </row>
    <row r="274" spans="1:8" ht="16.5" x14ac:dyDescent="0.25">
      <c r="A274" s="74">
        <v>46107</v>
      </c>
      <c r="B274" s="72"/>
      <c r="C274" s="72"/>
      <c r="D274" s="72" t="s">
        <v>103</v>
      </c>
      <c r="E274" s="73">
        <v>4</v>
      </c>
      <c r="F274" s="73"/>
      <c r="G274" s="62">
        <f>G273+E274-F274</f>
        <v>6.25</v>
      </c>
      <c r="H274" s="72"/>
    </row>
    <row r="275" spans="1:8" ht="16.5" x14ac:dyDescent="0.25">
      <c r="A275" s="60">
        <v>46107</v>
      </c>
      <c r="B275" s="59"/>
      <c r="C275" s="59"/>
      <c r="D275" s="59" t="s">
        <v>83</v>
      </c>
      <c r="E275" s="62"/>
      <c r="F275" s="62">
        <v>4</v>
      </c>
      <c r="G275" s="62">
        <f>G274+E275-F275</f>
        <v>2.25</v>
      </c>
      <c r="H275" s="59"/>
    </row>
    <row r="276" spans="1:8" ht="16.5" x14ac:dyDescent="0.25">
      <c r="A276" s="74">
        <v>46108</v>
      </c>
      <c r="B276" s="72">
        <v>140836</v>
      </c>
      <c r="C276" s="72"/>
      <c r="D276" s="72" t="s">
        <v>12</v>
      </c>
      <c r="E276" s="73">
        <v>210</v>
      </c>
      <c r="F276" s="73"/>
      <c r="G276" s="73">
        <f>G275+E276-F276</f>
        <v>212.25</v>
      </c>
      <c r="H276" s="72"/>
    </row>
    <row r="277" spans="1:8" ht="16.5" x14ac:dyDescent="0.25">
      <c r="A277" s="60">
        <v>46110</v>
      </c>
      <c r="B277" s="59"/>
      <c r="C277" s="59"/>
      <c r="D277" s="59" t="s">
        <v>142</v>
      </c>
      <c r="E277" s="62"/>
      <c r="F277" s="62">
        <v>17</v>
      </c>
      <c r="G277" s="62">
        <f>G276+E277-F277</f>
        <v>195.25</v>
      </c>
      <c r="H277" s="59"/>
    </row>
    <row r="278" spans="1:8" ht="16.5" x14ac:dyDescent="0.25">
      <c r="A278" s="60">
        <v>46111</v>
      </c>
      <c r="B278" s="59">
        <v>198656</v>
      </c>
      <c r="C278" s="59">
        <v>57865</v>
      </c>
      <c r="D278" s="59" t="s">
        <v>395</v>
      </c>
      <c r="E278" s="62"/>
      <c r="F278" s="62">
        <v>10</v>
      </c>
      <c r="G278" s="62">
        <f t="shared" ref="G278:G285" si="22">G277+E278-F278</f>
        <v>185.25</v>
      </c>
      <c r="H278" s="59"/>
    </row>
    <row r="279" spans="1:8" ht="16.5" x14ac:dyDescent="0.25">
      <c r="A279" s="60">
        <v>46112</v>
      </c>
      <c r="B279" s="59"/>
      <c r="C279" s="59">
        <v>64223</v>
      </c>
      <c r="D279" s="59" t="s">
        <v>148</v>
      </c>
      <c r="E279" s="62"/>
      <c r="F279" s="62">
        <v>15</v>
      </c>
      <c r="G279" s="62">
        <f t="shared" si="22"/>
        <v>170.25</v>
      </c>
      <c r="H279" s="59"/>
    </row>
    <row r="280" spans="1:8" ht="16.5" x14ac:dyDescent="0.25">
      <c r="A280" s="60">
        <v>46112</v>
      </c>
      <c r="B280" s="59"/>
      <c r="C280" s="59"/>
      <c r="D280" s="59" t="s">
        <v>61</v>
      </c>
      <c r="E280" s="62"/>
      <c r="F280" s="62">
        <v>3</v>
      </c>
      <c r="G280" s="62">
        <f t="shared" si="22"/>
        <v>167.25</v>
      </c>
      <c r="H280" s="59"/>
    </row>
    <row r="281" spans="1:8" ht="16.5" x14ac:dyDescent="0.25">
      <c r="A281" s="60">
        <v>46133</v>
      </c>
      <c r="B281" s="59"/>
      <c r="C281" s="59"/>
      <c r="D281" s="59" t="s">
        <v>404</v>
      </c>
      <c r="E281" s="62"/>
      <c r="F281" s="62">
        <v>40</v>
      </c>
      <c r="G281" s="62">
        <f t="shared" si="22"/>
        <v>127.25</v>
      </c>
      <c r="H281" s="59"/>
    </row>
    <row r="282" spans="1:8" ht="16.5" x14ac:dyDescent="0.25">
      <c r="A282" s="60">
        <v>46134</v>
      </c>
      <c r="B282" s="59">
        <v>207336</v>
      </c>
      <c r="C282" s="59">
        <v>57872</v>
      </c>
      <c r="D282" s="59" t="s">
        <v>405</v>
      </c>
      <c r="E282" s="62"/>
      <c r="F282" s="62">
        <v>20</v>
      </c>
      <c r="G282" s="62">
        <f t="shared" si="22"/>
        <v>107.25</v>
      </c>
      <c r="H282" s="59"/>
    </row>
    <row r="283" spans="1:8" ht="16.5" x14ac:dyDescent="0.25">
      <c r="A283" s="74">
        <v>46136</v>
      </c>
      <c r="B283" s="72">
        <v>140850</v>
      </c>
      <c r="C283" s="72"/>
      <c r="D283" s="72" t="s">
        <v>12</v>
      </c>
      <c r="E283" s="73">
        <v>210</v>
      </c>
      <c r="F283" s="73"/>
      <c r="G283" s="73">
        <f t="shared" si="22"/>
        <v>317.25</v>
      </c>
      <c r="H283" s="72"/>
    </row>
    <row r="284" spans="1:8" ht="16.5" x14ac:dyDescent="0.25">
      <c r="A284" s="60">
        <v>46136</v>
      </c>
      <c r="B284" s="59">
        <v>2965</v>
      </c>
      <c r="C284" s="59">
        <v>57877</v>
      </c>
      <c r="D284" s="59" t="s">
        <v>410</v>
      </c>
      <c r="E284" s="62"/>
      <c r="F284" s="62">
        <v>100</v>
      </c>
      <c r="G284" s="62">
        <f t="shared" si="22"/>
        <v>217.25</v>
      </c>
      <c r="H284" s="59"/>
    </row>
    <row r="285" spans="1:8" ht="16.5" x14ac:dyDescent="0.25">
      <c r="A285" s="60">
        <v>46136</v>
      </c>
      <c r="B285" s="59">
        <v>2923</v>
      </c>
      <c r="C285" s="59">
        <v>5778</v>
      </c>
      <c r="D285" s="59" t="s">
        <v>411</v>
      </c>
      <c r="E285" s="62"/>
      <c r="F285" s="62">
        <v>70</v>
      </c>
      <c r="G285" s="62">
        <f t="shared" si="22"/>
        <v>147.25</v>
      </c>
      <c r="H285" s="59"/>
    </row>
    <row r="286" spans="1:8" ht="16.5" x14ac:dyDescent="0.25">
      <c r="A286" s="60">
        <v>46137</v>
      </c>
      <c r="B286" s="59"/>
      <c r="C286" s="59"/>
      <c r="D286" s="59" t="s">
        <v>412</v>
      </c>
      <c r="E286" s="62"/>
      <c r="F286" s="62">
        <v>15</v>
      </c>
      <c r="G286" s="62">
        <f>G285+E286-F286</f>
        <v>132.25</v>
      </c>
      <c r="H286" s="59"/>
    </row>
    <row r="287" spans="1:8" ht="16.5" x14ac:dyDescent="0.25">
      <c r="A287" s="60">
        <v>46138</v>
      </c>
      <c r="B287" s="59"/>
      <c r="C287" s="59"/>
      <c r="D287" s="59" t="s">
        <v>210</v>
      </c>
      <c r="E287" s="62"/>
      <c r="F287" s="62">
        <v>20</v>
      </c>
      <c r="G287" s="62">
        <f>G286+E287-F287</f>
        <v>112.25</v>
      </c>
      <c r="H287" s="59"/>
    </row>
    <row r="288" spans="1:8" ht="16.5" x14ac:dyDescent="0.25">
      <c r="A288" s="60">
        <v>46140</v>
      </c>
      <c r="B288" s="59">
        <v>2992</v>
      </c>
      <c r="C288" s="59">
        <v>64233</v>
      </c>
      <c r="D288" s="59" t="s">
        <v>148</v>
      </c>
      <c r="E288" s="62"/>
      <c r="F288" s="62">
        <v>15</v>
      </c>
      <c r="G288" s="62">
        <f>G287+E288-F288</f>
        <v>97.25</v>
      </c>
      <c r="H288" s="59"/>
    </row>
    <row r="289" spans="1:8" ht="16.5" x14ac:dyDescent="0.25">
      <c r="A289" s="60">
        <v>46140</v>
      </c>
      <c r="B289" s="59"/>
      <c r="C289" s="59"/>
      <c r="D289" s="59" t="s">
        <v>417</v>
      </c>
      <c r="E289" s="62"/>
      <c r="F289" s="62">
        <v>72</v>
      </c>
      <c r="G289" s="62">
        <f>G288+E289-F289</f>
        <v>25.25</v>
      </c>
      <c r="H289" s="59"/>
    </row>
    <row r="290" spans="1:8" ht="16.5" x14ac:dyDescent="0.25">
      <c r="A290" s="60">
        <v>46140</v>
      </c>
      <c r="B290" s="59"/>
      <c r="C290" s="59"/>
      <c r="D290" s="59" t="s">
        <v>417</v>
      </c>
      <c r="E290" s="62"/>
      <c r="F290" s="62">
        <v>6</v>
      </c>
      <c r="G290" s="62">
        <f t="shared" ref="G290:G296" si="23">G289+E290-F290</f>
        <v>19.25</v>
      </c>
      <c r="H290" s="59"/>
    </row>
    <row r="291" spans="1:8" ht="16.5" x14ac:dyDescent="0.25">
      <c r="A291" s="74">
        <v>46140</v>
      </c>
      <c r="B291" s="72">
        <v>167403</v>
      </c>
      <c r="C291" s="72"/>
      <c r="D291" s="72" t="s">
        <v>12</v>
      </c>
      <c r="E291" s="73">
        <v>210</v>
      </c>
      <c r="F291" s="73"/>
      <c r="G291" s="73">
        <f t="shared" si="23"/>
        <v>229.25</v>
      </c>
      <c r="H291" s="72"/>
    </row>
    <row r="292" spans="1:8" ht="16.5" x14ac:dyDescent="0.25">
      <c r="A292" s="60">
        <v>46143</v>
      </c>
      <c r="B292" s="59"/>
      <c r="C292" s="59"/>
      <c r="D292" s="59" t="s">
        <v>418</v>
      </c>
      <c r="E292" s="62"/>
      <c r="F292" s="62">
        <v>5</v>
      </c>
      <c r="G292" s="62">
        <f t="shared" si="23"/>
        <v>224.25</v>
      </c>
      <c r="H292" s="59"/>
    </row>
    <row r="293" spans="1:8" ht="16.5" x14ac:dyDescent="0.25">
      <c r="A293" s="60">
        <v>46146</v>
      </c>
      <c r="B293" s="59"/>
      <c r="C293" s="59"/>
      <c r="D293" s="59" t="s">
        <v>420</v>
      </c>
      <c r="E293" s="62"/>
      <c r="F293" s="62">
        <v>5</v>
      </c>
      <c r="G293" s="62">
        <f t="shared" si="23"/>
        <v>219.25</v>
      </c>
      <c r="H293" s="59"/>
    </row>
    <row r="294" spans="1:8" ht="16.5" x14ac:dyDescent="0.25">
      <c r="A294" s="60">
        <v>46149</v>
      </c>
      <c r="B294" s="59"/>
      <c r="C294" s="59"/>
      <c r="D294" s="59" t="s">
        <v>72</v>
      </c>
      <c r="E294" s="62"/>
      <c r="F294" s="62">
        <v>20</v>
      </c>
      <c r="G294" s="62">
        <f>G293+E294-F294</f>
        <v>199.25</v>
      </c>
      <c r="H294" s="59"/>
    </row>
    <row r="295" spans="1:8" ht="16.5" x14ac:dyDescent="0.25">
      <c r="A295" s="60">
        <v>46153</v>
      </c>
      <c r="B295" s="59">
        <v>3081</v>
      </c>
      <c r="C295" s="59">
        <v>64240</v>
      </c>
      <c r="D295" s="59" t="s">
        <v>430</v>
      </c>
      <c r="E295" s="62"/>
      <c r="F295" s="62">
        <v>60</v>
      </c>
      <c r="G295" s="62">
        <f t="shared" si="23"/>
        <v>139.25</v>
      </c>
      <c r="H295" s="59"/>
    </row>
    <row r="296" spans="1:8" ht="16.5" x14ac:dyDescent="0.25">
      <c r="A296" s="60">
        <v>46154</v>
      </c>
      <c r="B296" s="59"/>
      <c r="C296" s="59"/>
      <c r="D296" s="59" t="s">
        <v>486</v>
      </c>
      <c r="E296" s="62"/>
      <c r="F296" s="62">
        <v>1</v>
      </c>
      <c r="G296" s="62">
        <f t="shared" si="23"/>
        <v>138.25</v>
      </c>
      <c r="H296" s="59"/>
    </row>
    <row r="297" spans="1:8" ht="16.5" x14ac:dyDescent="0.25">
      <c r="A297" s="60">
        <v>46154</v>
      </c>
      <c r="B297" s="59"/>
      <c r="C297" s="59"/>
      <c r="D297" s="59" t="s">
        <v>88</v>
      </c>
      <c r="E297" s="62"/>
      <c r="F297" s="62">
        <v>40</v>
      </c>
      <c r="G297" s="62">
        <f t="shared" ref="G297:G312" si="24">G296+E297-F297</f>
        <v>98.25</v>
      </c>
      <c r="H297" s="59"/>
    </row>
    <row r="298" spans="1:8" ht="16.5" x14ac:dyDescent="0.25">
      <c r="A298" s="60">
        <v>46155</v>
      </c>
      <c r="B298" s="59"/>
      <c r="C298" s="59"/>
      <c r="D298" s="59" t="s">
        <v>406</v>
      </c>
      <c r="E298" s="62"/>
      <c r="F298" s="62">
        <v>70</v>
      </c>
      <c r="G298" s="62">
        <f t="shared" si="24"/>
        <v>28.25</v>
      </c>
      <c r="H298" s="59"/>
    </row>
    <row r="299" spans="1:8" ht="16.5" x14ac:dyDescent="0.25">
      <c r="A299" s="60">
        <v>46156</v>
      </c>
      <c r="B299" s="59"/>
      <c r="C299" s="59"/>
      <c r="D299" s="59" t="s">
        <v>255</v>
      </c>
      <c r="E299" s="62"/>
      <c r="F299" s="62">
        <v>10</v>
      </c>
      <c r="G299" s="62">
        <f t="shared" si="24"/>
        <v>18.25</v>
      </c>
      <c r="H299" s="59"/>
    </row>
    <row r="300" spans="1:8" ht="16.5" x14ac:dyDescent="0.25">
      <c r="A300" s="60">
        <v>46163</v>
      </c>
      <c r="B300" s="59"/>
      <c r="C300" s="59"/>
      <c r="D300" s="59" t="s">
        <v>17</v>
      </c>
      <c r="E300" s="62"/>
      <c r="F300" s="62">
        <v>1</v>
      </c>
      <c r="G300" s="62">
        <f t="shared" si="24"/>
        <v>17.25</v>
      </c>
      <c r="H300" s="59"/>
    </row>
    <row r="301" spans="1:8" ht="16.5" x14ac:dyDescent="0.25">
      <c r="A301" s="60">
        <v>46163</v>
      </c>
      <c r="B301" s="59"/>
      <c r="C301" s="59"/>
      <c r="D301" s="59" t="s">
        <v>197</v>
      </c>
      <c r="E301" s="62"/>
      <c r="F301" s="62">
        <v>4</v>
      </c>
      <c r="G301" s="62">
        <f t="shared" si="24"/>
        <v>13.25</v>
      </c>
      <c r="H301" s="59"/>
    </row>
    <row r="302" spans="1:8" ht="16.5" x14ac:dyDescent="0.25">
      <c r="A302" s="60">
        <v>46168</v>
      </c>
      <c r="B302" s="59"/>
      <c r="C302" s="59"/>
      <c r="D302" s="59" t="s">
        <v>90</v>
      </c>
      <c r="E302" s="62"/>
      <c r="F302" s="62">
        <v>10</v>
      </c>
      <c r="G302" s="62">
        <f t="shared" si="24"/>
        <v>3.25</v>
      </c>
      <c r="H302" s="59"/>
    </row>
    <row r="303" spans="1:8" s="6" customFormat="1" ht="16.5" x14ac:dyDescent="0.25">
      <c r="A303" s="74">
        <v>46177</v>
      </c>
      <c r="B303" s="72">
        <v>167421</v>
      </c>
      <c r="C303" s="72"/>
      <c r="D303" s="72" t="s">
        <v>12</v>
      </c>
      <c r="E303" s="73">
        <v>200</v>
      </c>
      <c r="F303" s="73"/>
      <c r="G303" s="73">
        <f t="shared" si="24"/>
        <v>203.25</v>
      </c>
      <c r="H303" s="72"/>
    </row>
    <row r="304" spans="1:8" ht="16.5" x14ac:dyDescent="0.25">
      <c r="A304" s="60">
        <v>46177</v>
      </c>
      <c r="B304" s="59"/>
      <c r="C304" s="59">
        <v>64480</v>
      </c>
      <c r="D304" s="59" t="s">
        <v>528</v>
      </c>
      <c r="E304" s="62"/>
      <c r="F304" s="62">
        <v>30</v>
      </c>
      <c r="G304" s="62">
        <f t="shared" si="24"/>
        <v>173.25</v>
      </c>
      <c r="H304" s="59"/>
    </row>
    <row r="305" spans="1:8" ht="16.5" x14ac:dyDescent="0.25">
      <c r="A305" s="60">
        <v>46179</v>
      </c>
      <c r="B305" s="59"/>
      <c r="C305" s="59">
        <v>64483</v>
      </c>
      <c r="D305" s="59" t="s">
        <v>368</v>
      </c>
      <c r="E305" s="62"/>
      <c r="F305" s="62">
        <v>50</v>
      </c>
      <c r="G305" s="62">
        <f t="shared" si="24"/>
        <v>123.25</v>
      </c>
      <c r="H305" s="59"/>
    </row>
    <row r="306" spans="1:8" ht="16.5" x14ac:dyDescent="0.25">
      <c r="A306" s="60"/>
      <c r="B306" s="59"/>
      <c r="C306" s="59"/>
      <c r="D306" s="59"/>
      <c r="E306" s="62"/>
      <c r="F306" s="62"/>
      <c r="G306" s="62">
        <f t="shared" si="24"/>
        <v>123.25</v>
      </c>
      <c r="H306" s="59"/>
    </row>
    <row r="307" spans="1:8" ht="16.5" x14ac:dyDescent="0.25">
      <c r="A307" s="60"/>
      <c r="B307" s="59"/>
      <c r="C307" s="59"/>
      <c r="D307" s="59"/>
      <c r="E307" s="62"/>
      <c r="F307" s="62"/>
      <c r="G307" s="62">
        <f t="shared" si="24"/>
        <v>123.25</v>
      </c>
      <c r="H307" s="59"/>
    </row>
    <row r="308" spans="1:8" ht="16.5" x14ac:dyDescent="0.25">
      <c r="A308" s="60"/>
      <c r="B308" s="59"/>
      <c r="C308" s="59"/>
      <c r="D308" s="59"/>
      <c r="E308" s="62"/>
      <c r="F308" s="62"/>
      <c r="G308" s="62">
        <f t="shared" si="24"/>
        <v>123.25</v>
      </c>
      <c r="H308" s="59"/>
    </row>
    <row r="309" spans="1:8" ht="16.5" x14ac:dyDescent="0.25">
      <c r="A309" s="60"/>
      <c r="B309" s="59"/>
      <c r="C309" s="59"/>
      <c r="D309" s="59"/>
      <c r="E309" s="62"/>
      <c r="F309" s="62"/>
      <c r="G309" s="62">
        <f t="shared" si="24"/>
        <v>123.25</v>
      </c>
      <c r="H309" s="59"/>
    </row>
    <row r="310" spans="1:8" ht="16.5" x14ac:dyDescent="0.25">
      <c r="A310" s="60"/>
      <c r="B310" s="59"/>
      <c r="C310" s="59"/>
      <c r="D310" s="59"/>
      <c r="E310" s="62"/>
      <c r="F310" s="62"/>
      <c r="G310" s="62">
        <f t="shared" si="24"/>
        <v>123.25</v>
      </c>
      <c r="H310" s="59"/>
    </row>
    <row r="311" spans="1:8" ht="16.5" x14ac:dyDescent="0.25">
      <c r="A311" s="59"/>
      <c r="B311" s="59"/>
      <c r="C311" s="59"/>
      <c r="D311" s="59"/>
      <c r="E311" s="62"/>
      <c r="F311" s="62"/>
      <c r="G311" s="62">
        <f t="shared" si="24"/>
        <v>123.25</v>
      </c>
      <c r="H311" s="59"/>
    </row>
    <row r="312" spans="1:8" ht="16.5" x14ac:dyDescent="0.25">
      <c r="A312" s="59"/>
      <c r="B312" s="59"/>
      <c r="C312" s="59"/>
      <c r="D312" s="59"/>
      <c r="E312" s="62"/>
      <c r="F312" s="62"/>
      <c r="G312" s="62">
        <f t="shared" si="24"/>
        <v>123.25</v>
      </c>
      <c r="H312" s="59"/>
    </row>
    <row r="376" spans="11:11" x14ac:dyDescent="0.25">
      <c r="K376">
        <v>0</v>
      </c>
    </row>
  </sheetData>
  <autoFilter ref="A6:H296"/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0"/>
  <sheetViews>
    <sheetView topLeftCell="A4" workbookViewId="0">
      <pane ySplit="1620" topLeftCell="A10" activePane="bottomLeft"/>
      <selection activeCell="A5" sqref="A5"/>
      <selection pane="bottomLeft" activeCell="G18" sqref="G18"/>
    </sheetView>
  </sheetViews>
  <sheetFormatPr defaultRowHeight="16.5" x14ac:dyDescent="0.25"/>
  <cols>
    <col min="1" max="1" width="13.5703125" style="57" customWidth="1"/>
    <col min="2" max="3" width="9.140625" style="57"/>
    <col min="4" max="4" width="26.140625" style="57" customWidth="1"/>
    <col min="5" max="5" width="11.28515625" style="61" bestFit="1" customWidth="1"/>
    <col min="6" max="6" width="10" style="61" bestFit="1" customWidth="1"/>
    <col min="7" max="7" width="11.28515625" style="61" bestFit="1" customWidth="1"/>
    <col min="8" max="16384" width="9.140625" style="57"/>
  </cols>
  <sheetData>
    <row r="2" spans="1:8" x14ac:dyDescent="0.25">
      <c r="A2" s="57" t="s">
        <v>0</v>
      </c>
    </row>
    <row r="3" spans="1:8" x14ac:dyDescent="0.25">
      <c r="A3" s="57" t="s">
        <v>1</v>
      </c>
    </row>
    <row r="4" spans="1:8" x14ac:dyDescent="0.25">
      <c r="A4" s="57" t="s">
        <v>2</v>
      </c>
    </row>
    <row r="5" spans="1:8" x14ac:dyDescent="0.25">
      <c r="A5" s="57" t="s">
        <v>174</v>
      </c>
    </row>
    <row r="7" spans="1:8" x14ac:dyDescent="0.25">
      <c r="A7" s="59" t="s">
        <v>4</v>
      </c>
      <c r="B7" s="59" t="s">
        <v>6</v>
      </c>
      <c r="C7" s="59" t="s">
        <v>5</v>
      </c>
      <c r="D7" s="59" t="s">
        <v>7</v>
      </c>
      <c r="E7" s="62" t="s">
        <v>8</v>
      </c>
      <c r="F7" s="62" t="s">
        <v>9</v>
      </c>
      <c r="G7" s="62" t="s">
        <v>10</v>
      </c>
      <c r="H7" s="59" t="s">
        <v>11</v>
      </c>
    </row>
    <row r="8" spans="1:8" x14ac:dyDescent="0.25">
      <c r="A8" s="71">
        <v>45916</v>
      </c>
      <c r="B8" s="72">
        <v>7347</v>
      </c>
      <c r="C8" s="72"/>
      <c r="D8" s="72" t="s">
        <v>129</v>
      </c>
      <c r="E8" s="73">
        <v>210</v>
      </c>
      <c r="F8" s="73"/>
      <c r="G8" s="73">
        <f>E8</f>
        <v>210</v>
      </c>
      <c r="H8" s="72"/>
    </row>
    <row r="9" spans="1:8" x14ac:dyDescent="0.25">
      <c r="A9" s="81">
        <v>45916</v>
      </c>
      <c r="B9" s="78"/>
      <c r="C9" s="78"/>
      <c r="D9" s="78" t="s">
        <v>175</v>
      </c>
      <c r="E9" s="80"/>
      <c r="F9" s="80">
        <v>70</v>
      </c>
      <c r="G9" s="80">
        <f>G8+E9-F9</f>
        <v>140</v>
      </c>
      <c r="H9" s="59"/>
    </row>
    <row r="10" spans="1:8" x14ac:dyDescent="0.25">
      <c r="A10" s="81">
        <v>45918</v>
      </c>
      <c r="B10" s="78"/>
      <c r="C10" s="78"/>
      <c r="D10" s="78" t="s">
        <v>177</v>
      </c>
      <c r="E10" s="80"/>
      <c r="F10" s="80">
        <v>17</v>
      </c>
      <c r="G10" s="80">
        <f t="shared" ref="G10:G30" si="0">G9+E10-F10</f>
        <v>123</v>
      </c>
      <c r="H10" s="59"/>
    </row>
    <row r="11" spans="1:8" x14ac:dyDescent="0.25">
      <c r="A11" s="81">
        <v>45959</v>
      </c>
      <c r="B11" s="78"/>
      <c r="C11" s="78"/>
      <c r="D11" s="78" t="s">
        <v>210</v>
      </c>
      <c r="E11" s="80"/>
      <c r="F11" s="80">
        <v>40</v>
      </c>
      <c r="G11" s="80">
        <f t="shared" si="0"/>
        <v>83</v>
      </c>
      <c r="H11" s="59"/>
    </row>
    <row r="12" spans="1:8" x14ac:dyDescent="0.25">
      <c r="A12" s="81">
        <v>45967</v>
      </c>
      <c r="B12" s="78">
        <v>207020</v>
      </c>
      <c r="C12" s="78">
        <v>64955</v>
      </c>
      <c r="D12" s="78" t="s">
        <v>217</v>
      </c>
      <c r="E12" s="80"/>
      <c r="F12" s="80">
        <v>20</v>
      </c>
      <c r="G12" s="80">
        <f t="shared" si="0"/>
        <v>63</v>
      </c>
      <c r="H12" s="59"/>
    </row>
    <row r="13" spans="1:8" x14ac:dyDescent="0.25">
      <c r="A13" s="81">
        <v>45969</v>
      </c>
      <c r="B13" s="78"/>
      <c r="C13" s="78"/>
      <c r="D13" s="78" t="s">
        <v>61</v>
      </c>
      <c r="E13" s="80"/>
      <c r="F13" s="80">
        <v>2</v>
      </c>
      <c r="G13" s="80">
        <f t="shared" si="0"/>
        <v>61</v>
      </c>
      <c r="H13" s="59"/>
    </row>
    <row r="14" spans="1:8" x14ac:dyDescent="0.25">
      <c r="A14" s="81">
        <v>45970</v>
      </c>
      <c r="B14" s="78">
        <v>142785</v>
      </c>
      <c r="C14" s="78">
        <v>64958</v>
      </c>
      <c r="D14" s="78" t="s">
        <v>220</v>
      </c>
      <c r="E14" s="80"/>
      <c r="F14" s="80">
        <v>20</v>
      </c>
      <c r="G14" s="80">
        <f t="shared" si="0"/>
        <v>41</v>
      </c>
      <c r="H14" s="59"/>
    </row>
    <row r="15" spans="1:8" x14ac:dyDescent="0.25">
      <c r="A15" s="81">
        <v>45972</v>
      </c>
      <c r="B15" s="78"/>
      <c r="C15" s="78"/>
      <c r="D15" s="78" t="s">
        <v>63</v>
      </c>
      <c r="E15" s="80"/>
      <c r="F15" s="80">
        <v>20</v>
      </c>
      <c r="G15" s="80">
        <f t="shared" si="0"/>
        <v>21</v>
      </c>
      <c r="H15" s="59"/>
    </row>
    <row r="16" spans="1:8" x14ac:dyDescent="0.25">
      <c r="A16" s="81">
        <v>46008</v>
      </c>
      <c r="B16" s="78"/>
      <c r="C16" s="78"/>
      <c r="D16" s="78" t="s">
        <v>61</v>
      </c>
      <c r="E16" s="80"/>
      <c r="F16" s="80">
        <v>10</v>
      </c>
      <c r="G16" s="80">
        <f t="shared" si="0"/>
        <v>11</v>
      </c>
      <c r="H16" s="59"/>
    </row>
    <row r="17" spans="1:8" x14ac:dyDescent="0.25">
      <c r="A17" s="81">
        <v>46011</v>
      </c>
      <c r="B17" s="78"/>
      <c r="C17" s="78"/>
      <c r="D17" s="78" t="s">
        <v>114</v>
      </c>
      <c r="E17" s="80"/>
      <c r="F17" s="80">
        <v>10</v>
      </c>
      <c r="G17" s="80">
        <f t="shared" si="0"/>
        <v>1</v>
      </c>
      <c r="H17" s="59"/>
    </row>
    <row r="18" spans="1:8" x14ac:dyDescent="0.25">
      <c r="A18" s="68">
        <v>46017</v>
      </c>
      <c r="B18" s="59"/>
      <c r="C18" s="59"/>
      <c r="D18" s="59" t="s">
        <v>161</v>
      </c>
      <c r="E18" s="62"/>
      <c r="F18" s="62">
        <v>1</v>
      </c>
      <c r="G18" s="62">
        <f t="shared" si="0"/>
        <v>0</v>
      </c>
      <c r="H18" s="59"/>
    </row>
    <row r="19" spans="1:8" x14ac:dyDescent="0.25">
      <c r="A19" s="81"/>
      <c r="B19" s="78"/>
      <c r="C19" s="78"/>
      <c r="D19" s="78"/>
      <c r="E19" s="80"/>
      <c r="F19" s="80"/>
      <c r="G19" s="80">
        <f t="shared" si="0"/>
        <v>0</v>
      </c>
      <c r="H19" s="59"/>
    </row>
    <row r="20" spans="1:8" x14ac:dyDescent="0.25">
      <c r="A20" s="81"/>
      <c r="B20" s="78"/>
      <c r="C20" s="78"/>
      <c r="D20" s="78"/>
      <c r="E20" s="80"/>
      <c r="F20" s="80"/>
      <c r="G20" s="80">
        <f t="shared" si="0"/>
        <v>0</v>
      </c>
      <c r="H20" s="59"/>
    </row>
    <row r="21" spans="1:8" x14ac:dyDescent="0.25">
      <c r="A21" s="81"/>
      <c r="B21" s="78"/>
      <c r="C21" s="78"/>
      <c r="D21" s="78"/>
      <c r="E21" s="80"/>
      <c r="F21" s="80"/>
      <c r="G21" s="80">
        <f t="shared" si="0"/>
        <v>0</v>
      </c>
      <c r="H21" s="59"/>
    </row>
    <row r="22" spans="1:8" x14ac:dyDescent="0.25">
      <c r="A22" s="81"/>
      <c r="B22" s="78"/>
      <c r="C22" s="78"/>
      <c r="D22" s="78"/>
      <c r="E22" s="80"/>
      <c r="F22" s="80"/>
      <c r="G22" s="80">
        <f t="shared" si="0"/>
        <v>0</v>
      </c>
      <c r="H22" s="59"/>
    </row>
    <row r="23" spans="1:8" x14ac:dyDescent="0.25">
      <c r="A23" s="81"/>
      <c r="B23" s="78"/>
      <c r="C23" s="78"/>
      <c r="D23" s="78"/>
      <c r="E23" s="80"/>
      <c r="F23" s="80"/>
      <c r="G23" s="80">
        <f t="shared" si="0"/>
        <v>0</v>
      </c>
      <c r="H23" s="59"/>
    </row>
    <row r="24" spans="1:8" x14ac:dyDescent="0.25">
      <c r="A24" s="81"/>
      <c r="B24" s="78"/>
      <c r="C24" s="78"/>
      <c r="D24" s="78"/>
      <c r="E24" s="80"/>
      <c r="F24" s="80"/>
      <c r="G24" s="80">
        <f t="shared" si="0"/>
        <v>0</v>
      </c>
      <c r="H24" s="59"/>
    </row>
    <row r="25" spans="1:8" x14ac:dyDescent="0.25">
      <c r="A25" s="81"/>
      <c r="B25" s="78"/>
      <c r="C25" s="78"/>
      <c r="D25" s="78"/>
      <c r="E25" s="80"/>
      <c r="F25" s="80"/>
      <c r="G25" s="80">
        <f t="shared" si="0"/>
        <v>0</v>
      </c>
      <c r="H25" s="59"/>
    </row>
    <row r="26" spans="1:8" x14ac:dyDescent="0.25">
      <c r="A26" s="81"/>
      <c r="B26" s="78"/>
      <c r="C26" s="78"/>
      <c r="D26" s="78"/>
      <c r="E26" s="80"/>
      <c r="F26" s="80"/>
      <c r="G26" s="80">
        <f t="shared" si="0"/>
        <v>0</v>
      </c>
      <c r="H26" s="59"/>
    </row>
    <row r="27" spans="1:8" x14ac:dyDescent="0.25">
      <c r="A27" s="81"/>
      <c r="B27" s="78"/>
      <c r="C27" s="78"/>
      <c r="D27" s="78"/>
      <c r="E27" s="80"/>
      <c r="F27" s="80"/>
      <c r="G27" s="80">
        <f t="shared" si="0"/>
        <v>0</v>
      </c>
      <c r="H27" s="59"/>
    </row>
    <row r="28" spans="1:8" x14ac:dyDescent="0.25">
      <c r="A28" s="81"/>
      <c r="B28" s="78"/>
      <c r="C28" s="78"/>
      <c r="D28" s="78"/>
      <c r="E28" s="80"/>
      <c r="F28" s="80"/>
      <c r="G28" s="80">
        <f t="shared" si="0"/>
        <v>0</v>
      </c>
      <c r="H28" s="59"/>
    </row>
    <row r="29" spans="1:8" x14ac:dyDescent="0.25">
      <c r="A29" s="81"/>
      <c r="B29" s="78"/>
      <c r="C29" s="78"/>
      <c r="D29" s="78"/>
      <c r="E29" s="80"/>
      <c r="F29" s="80"/>
      <c r="G29" s="80">
        <f t="shared" si="0"/>
        <v>0</v>
      </c>
      <c r="H29" s="59"/>
    </row>
    <row r="30" spans="1:8" x14ac:dyDescent="0.25">
      <c r="A30" s="81"/>
      <c r="B30" s="78"/>
      <c r="C30" s="78"/>
      <c r="D30" s="78"/>
      <c r="E30" s="80"/>
      <c r="F30" s="80"/>
      <c r="G30" s="80">
        <f t="shared" si="0"/>
        <v>0</v>
      </c>
      <c r="H30" s="5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opLeftCell="A10" workbookViewId="0">
      <selection activeCell="H41" sqref="H41"/>
    </sheetView>
  </sheetViews>
  <sheetFormatPr defaultRowHeight="16.5" x14ac:dyDescent="0.25"/>
  <cols>
    <col min="1" max="1" width="12.42578125" style="57" bestFit="1" customWidth="1"/>
    <col min="2" max="3" width="9.28515625" style="57" bestFit="1" customWidth="1"/>
    <col min="4" max="4" width="23.140625" style="57" bestFit="1" customWidth="1"/>
    <col min="5" max="7" width="11.28515625" style="61" bestFit="1" customWidth="1"/>
    <col min="8" max="16384" width="9.140625" style="57"/>
  </cols>
  <sheetData>
    <row r="1" spans="1:8" x14ac:dyDescent="0.25">
      <c r="A1" s="57" t="s">
        <v>0</v>
      </c>
    </row>
    <row r="2" spans="1:8" x14ac:dyDescent="0.25">
      <c r="A2" s="57" t="s">
        <v>1</v>
      </c>
    </row>
    <row r="3" spans="1:8" x14ac:dyDescent="0.25">
      <c r="A3" s="57" t="s">
        <v>2</v>
      </c>
    </row>
    <row r="4" spans="1:8" x14ac:dyDescent="0.25">
      <c r="A4" s="57" t="s">
        <v>127</v>
      </c>
    </row>
    <row r="6" spans="1:8" x14ac:dyDescent="0.25">
      <c r="A6" s="59" t="s">
        <v>4</v>
      </c>
      <c r="B6" s="59" t="s">
        <v>6</v>
      </c>
      <c r="C6" s="59" t="s">
        <v>5</v>
      </c>
      <c r="D6" s="59" t="s">
        <v>7</v>
      </c>
      <c r="E6" s="62" t="s">
        <v>8</v>
      </c>
      <c r="F6" s="62" t="s">
        <v>9</v>
      </c>
      <c r="G6" s="62" t="s">
        <v>10</v>
      </c>
      <c r="H6" s="59" t="s">
        <v>11</v>
      </c>
    </row>
    <row r="7" spans="1:8" x14ac:dyDescent="0.25">
      <c r="A7" s="71">
        <v>45854</v>
      </c>
      <c r="B7" s="72">
        <v>7347</v>
      </c>
      <c r="C7" s="72"/>
      <c r="D7" s="72" t="s">
        <v>129</v>
      </c>
      <c r="E7" s="73">
        <v>210</v>
      </c>
      <c r="F7" s="73"/>
      <c r="G7" s="73">
        <f>E7</f>
        <v>210</v>
      </c>
      <c r="H7" s="72"/>
    </row>
    <row r="8" spans="1:8" x14ac:dyDescent="0.25">
      <c r="A8" s="81">
        <v>45854</v>
      </c>
      <c r="B8" s="78"/>
      <c r="C8" s="78"/>
      <c r="D8" s="78" t="s">
        <v>64</v>
      </c>
      <c r="E8" s="80"/>
      <c r="F8" s="80">
        <v>10</v>
      </c>
      <c r="G8" s="80">
        <f>G7+E8-F8</f>
        <v>200</v>
      </c>
      <c r="H8" s="59"/>
    </row>
    <row r="9" spans="1:8" x14ac:dyDescent="0.25">
      <c r="A9" s="81">
        <v>45882</v>
      </c>
      <c r="B9" s="78"/>
      <c r="C9" s="78"/>
      <c r="D9" s="78" t="s">
        <v>83</v>
      </c>
      <c r="E9" s="80"/>
      <c r="F9" s="80">
        <v>15</v>
      </c>
      <c r="G9" s="80">
        <f t="shared" ref="G9:G18" si="0">G8+E9-F9</f>
        <v>185</v>
      </c>
      <c r="H9" s="59"/>
    </row>
    <row r="10" spans="1:8" x14ac:dyDescent="0.25">
      <c r="A10" s="81">
        <v>45883</v>
      </c>
      <c r="B10" s="78">
        <v>172701</v>
      </c>
      <c r="C10" s="78">
        <v>66408</v>
      </c>
      <c r="D10" s="78" t="s">
        <v>56</v>
      </c>
      <c r="E10" s="80"/>
      <c r="F10" s="80">
        <v>20</v>
      </c>
      <c r="G10" s="80">
        <f t="shared" si="0"/>
        <v>165</v>
      </c>
      <c r="H10" s="59"/>
    </row>
    <row r="11" spans="1:8" x14ac:dyDescent="0.25">
      <c r="A11" s="81">
        <v>45892</v>
      </c>
      <c r="B11" s="78"/>
      <c r="C11" s="78"/>
      <c r="D11" s="78" t="s">
        <v>85</v>
      </c>
      <c r="E11" s="80"/>
      <c r="F11" s="80">
        <v>75</v>
      </c>
      <c r="G11" s="80">
        <f t="shared" si="0"/>
        <v>90</v>
      </c>
      <c r="H11" s="59"/>
    </row>
    <row r="12" spans="1:8" x14ac:dyDescent="0.25">
      <c r="A12" s="81">
        <v>45905</v>
      </c>
      <c r="B12" s="78">
        <v>206119</v>
      </c>
      <c r="C12" s="78">
        <v>66451</v>
      </c>
      <c r="D12" s="78" t="s">
        <v>22</v>
      </c>
      <c r="E12" s="80"/>
      <c r="F12" s="80">
        <v>30</v>
      </c>
      <c r="G12" s="80">
        <f t="shared" si="0"/>
        <v>60</v>
      </c>
      <c r="H12" s="59"/>
    </row>
    <row r="13" spans="1:8" x14ac:dyDescent="0.25">
      <c r="A13" s="81">
        <v>45925</v>
      </c>
      <c r="B13" s="78">
        <v>206954</v>
      </c>
      <c r="C13" s="78">
        <v>72102</v>
      </c>
      <c r="D13" s="78" t="s">
        <v>23</v>
      </c>
      <c r="E13" s="80"/>
      <c r="F13" s="80">
        <v>30</v>
      </c>
      <c r="G13" s="80">
        <f t="shared" si="0"/>
        <v>30</v>
      </c>
      <c r="H13" s="59"/>
    </row>
    <row r="14" spans="1:8" x14ac:dyDescent="0.25">
      <c r="A14" s="81">
        <v>45971</v>
      </c>
      <c r="B14" s="78"/>
      <c r="C14" s="78"/>
      <c r="D14" s="78" t="s">
        <v>222</v>
      </c>
      <c r="E14" s="80"/>
      <c r="F14" s="80">
        <v>2</v>
      </c>
      <c r="G14" s="80">
        <f t="shared" si="0"/>
        <v>28</v>
      </c>
      <c r="H14" s="59"/>
    </row>
    <row r="15" spans="1:8" x14ac:dyDescent="0.25">
      <c r="A15" s="81">
        <v>45986</v>
      </c>
      <c r="B15" s="78"/>
      <c r="C15" s="78"/>
      <c r="D15" s="78" t="s">
        <v>161</v>
      </c>
      <c r="E15" s="80"/>
      <c r="F15" s="80">
        <v>1</v>
      </c>
      <c r="G15" s="80">
        <f t="shared" si="0"/>
        <v>27</v>
      </c>
      <c r="H15" s="59"/>
    </row>
    <row r="16" spans="1:8" x14ac:dyDescent="0.25">
      <c r="A16" s="71">
        <v>46008</v>
      </c>
      <c r="B16" s="72"/>
      <c r="C16" s="72"/>
      <c r="D16" s="72" t="s">
        <v>103</v>
      </c>
      <c r="E16" s="73">
        <v>23</v>
      </c>
      <c r="F16" s="73"/>
      <c r="G16" s="73">
        <f t="shared" si="0"/>
        <v>50</v>
      </c>
      <c r="H16" s="72"/>
    </row>
    <row r="17" spans="1:8" x14ac:dyDescent="0.25">
      <c r="A17" s="81">
        <v>46008</v>
      </c>
      <c r="B17" s="78">
        <v>203560</v>
      </c>
      <c r="C17" s="78">
        <v>71979</v>
      </c>
      <c r="D17" s="78" t="s">
        <v>258</v>
      </c>
      <c r="E17" s="80"/>
      <c r="F17" s="80">
        <v>50</v>
      </c>
      <c r="G17" s="80">
        <f t="shared" si="0"/>
        <v>0</v>
      </c>
      <c r="H17" s="59"/>
    </row>
    <row r="18" spans="1:8" x14ac:dyDescent="0.25">
      <c r="A18" s="71">
        <v>46033</v>
      </c>
      <c r="B18" s="72">
        <v>142459</v>
      </c>
      <c r="C18" s="72"/>
      <c r="D18" s="72" t="s">
        <v>129</v>
      </c>
      <c r="E18" s="73">
        <v>210</v>
      </c>
      <c r="F18" s="73"/>
      <c r="G18" s="73">
        <f t="shared" si="0"/>
        <v>210</v>
      </c>
      <c r="H18" s="72"/>
    </row>
    <row r="19" spans="1:8" x14ac:dyDescent="0.25">
      <c r="A19" s="81">
        <v>46033</v>
      </c>
      <c r="B19" s="78">
        <v>64998</v>
      </c>
      <c r="C19" s="78">
        <v>205986</v>
      </c>
      <c r="D19" s="78" t="s">
        <v>22</v>
      </c>
      <c r="E19" s="80"/>
      <c r="F19" s="80">
        <v>30</v>
      </c>
      <c r="G19" s="80">
        <f>G18+E19-F19</f>
        <v>180</v>
      </c>
      <c r="H19" s="59"/>
    </row>
    <row r="20" spans="1:8" x14ac:dyDescent="0.25">
      <c r="A20" s="71">
        <v>46036</v>
      </c>
      <c r="B20" s="72">
        <v>142464</v>
      </c>
      <c r="C20" s="72"/>
      <c r="D20" s="72" t="s">
        <v>129</v>
      </c>
      <c r="E20" s="73">
        <v>420</v>
      </c>
      <c r="F20" s="73"/>
      <c r="G20" s="80">
        <f>G19+E20-F20</f>
        <v>600</v>
      </c>
      <c r="H20" s="59"/>
    </row>
    <row r="21" spans="1:8" x14ac:dyDescent="0.25">
      <c r="A21" s="68">
        <v>46036</v>
      </c>
      <c r="B21" s="59">
        <v>2419</v>
      </c>
      <c r="C21" s="59">
        <v>58064</v>
      </c>
      <c r="D21" s="59" t="s">
        <v>309</v>
      </c>
      <c r="E21" s="62"/>
      <c r="F21" s="62">
        <v>400</v>
      </c>
      <c r="G21" s="80">
        <f>G20+E21-F21</f>
        <v>200</v>
      </c>
      <c r="H21" s="59"/>
    </row>
    <row r="22" spans="1:8" x14ac:dyDescent="0.25">
      <c r="A22" s="81">
        <v>46073</v>
      </c>
      <c r="B22" s="78">
        <v>2682</v>
      </c>
      <c r="C22" s="78">
        <v>58086</v>
      </c>
      <c r="D22" s="78" t="s">
        <v>22</v>
      </c>
      <c r="E22" s="80"/>
      <c r="F22" s="80">
        <v>30</v>
      </c>
      <c r="G22" s="80">
        <f t="shared" ref="G22:G29" si="1">G21+E22-F22</f>
        <v>170</v>
      </c>
      <c r="H22" s="59"/>
    </row>
    <row r="23" spans="1:8" x14ac:dyDescent="0.25">
      <c r="A23" s="81">
        <v>46093</v>
      </c>
      <c r="B23" s="78"/>
      <c r="C23" s="78"/>
      <c r="D23" s="78" t="s">
        <v>301</v>
      </c>
      <c r="E23" s="80"/>
      <c r="F23" s="80">
        <v>1.5</v>
      </c>
      <c r="G23" s="80">
        <f t="shared" si="1"/>
        <v>168.5</v>
      </c>
      <c r="H23" s="59"/>
    </row>
    <row r="24" spans="1:8" x14ac:dyDescent="0.25">
      <c r="A24" s="81">
        <v>46105</v>
      </c>
      <c r="B24" s="78"/>
      <c r="C24" s="78"/>
      <c r="D24" s="78" t="s">
        <v>83</v>
      </c>
      <c r="E24" s="80"/>
      <c r="F24" s="80">
        <v>33.5</v>
      </c>
      <c r="G24" s="80">
        <f t="shared" si="1"/>
        <v>135</v>
      </c>
      <c r="H24" s="59"/>
    </row>
    <row r="25" spans="1:8" x14ac:dyDescent="0.25">
      <c r="A25" s="81">
        <v>46163</v>
      </c>
      <c r="B25" s="78"/>
      <c r="C25" s="78"/>
      <c r="D25" s="78" t="s">
        <v>508</v>
      </c>
      <c r="E25" s="80"/>
      <c r="F25" s="80">
        <v>46</v>
      </c>
      <c r="G25" s="80">
        <f t="shared" si="1"/>
        <v>89</v>
      </c>
      <c r="H25" s="59"/>
    </row>
    <row r="26" spans="1:8" x14ac:dyDescent="0.25">
      <c r="A26" s="81"/>
      <c r="B26" s="78"/>
      <c r="C26" s="78"/>
      <c r="D26" s="78"/>
      <c r="E26" s="80"/>
      <c r="F26" s="80"/>
      <c r="G26" s="80">
        <f t="shared" si="1"/>
        <v>89</v>
      </c>
      <c r="H26" s="59"/>
    </row>
    <row r="27" spans="1:8" x14ac:dyDescent="0.25">
      <c r="A27" s="81"/>
      <c r="B27" s="78"/>
      <c r="C27" s="78"/>
      <c r="D27" s="78"/>
      <c r="E27" s="80"/>
      <c r="F27" s="80"/>
      <c r="G27" s="80">
        <f t="shared" si="1"/>
        <v>89</v>
      </c>
      <c r="H27" s="59"/>
    </row>
    <row r="28" spans="1:8" x14ac:dyDescent="0.25">
      <c r="A28" s="81"/>
      <c r="B28" s="78"/>
      <c r="C28" s="78"/>
      <c r="D28" s="78"/>
      <c r="E28" s="80"/>
      <c r="F28" s="80"/>
      <c r="G28" s="80">
        <f t="shared" si="1"/>
        <v>89</v>
      </c>
      <c r="H28" s="59"/>
    </row>
    <row r="29" spans="1:8" x14ac:dyDescent="0.25">
      <c r="A29" s="81"/>
      <c r="B29" s="78"/>
      <c r="C29" s="78"/>
      <c r="D29" s="78"/>
      <c r="E29" s="80"/>
      <c r="F29" s="80"/>
      <c r="G29" s="80">
        <f t="shared" si="1"/>
        <v>89</v>
      </c>
      <c r="H29" s="59"/>
    </row>
    <row r="30" spans="1:8" x14ac:dyDescent="0.25">
      <c r="A30" s="81"/>
      <c r="B30" s="78"/>
      <c r="C30" s="78"/>
      <c r="D30" s="78"/>
      <c r="E30" s="80"/>
      <c r="F30" s="80"/>
      <c r="G30" s="80">
        <f t="shared" ref="G30:G36" si="2">G29+E30-F30</f>
        <v>89</v>
      </c>
      <c r="H30" s="59"/>
    </row>
    <row r="31" spans="1:8" x14ac:dyDescent="0.25">
      <c r="A31" s="81"/>
      <c r="B31" s="78"/>
      <c r="C31" s="78"/>
      <c r="D31" s="78"/>
      <c r="E31" s="80"/>
      <c r="F31" s="80"/>
      <c r="G31" s="80">
        <f t="shared" si="2"/>
        <v>89</v>
      </c>
      <c r="H31" s="59"/>
    </row>
    <row r="32" spans="1:8" x14ac:dyDescent="0.25">
      <c r="A32" s="81"/>
      <c r="B32" s="78"/>
      <c r="C32" s="78"/>
      <c r="D32" s="78"/>
      <c r="E32" s="80"/>
      <c r="F32" s="80"/>
      <c r="G32" s="80">
        <f t="shared" si="2"/>
        <v>89</v>
      </c>
      <c r="H32" s="59"/>
    </row>
    <row r="33" spans="1:16" x14ac:dyDescent="0.25">
      <c r="A33" s="81"/>
      <c r="B33" s="78"/>
      <c r="C33" s="78"/>
      <c r="D33" s="78"/>
      <c r="E33" s="80"/>
      <c r="F33" s="80"/>
      <c r="G33" s="80">
        <f t="shared" si="2"/>
        <v>89</v>
      </c>
      <c r="H33" s="59"/>
    </row>
    <row r="34" spans="1:16" x14ac:dyDescent="0.25">
      <c r="A34" s="81"/>
      <c r="B34" s="78"/>
      <c r="C34" s="78"/>
      <c r="D34" s="78"/>
      <c r="E34" s="80"/>
      <c r="F34" s="80"/>
      <c r="G34" s="80">
        <f t="shared" si="2"/>
        <v>89</v>
      </c>
      <c r="H34" s="59"/>
    </row>
    <row r="35" spans="1:16" x14ac:dyDescent="0.25">
      <c r="A35" s="81"/>
      <c r="B35" s="78"/>
      <c r="C35" s="78"/>
      <c r="D35" s="78"/>
      <c r="E35" s="80"/>
      <c r="F35" s="80"/>
      <c r="G35" s="80">
        <f t="shared" si="2"/>
        <v>89</v>
      </c>
      <c r="H35" s="59"/>
    </row>
    <row r="36" spans="1:16" x14ac:dyDescent="0.25">
      <c r="A36" s="81"/>
      <c r="B36" s="78"/>
      <c r="C36" s="78"/>
      <c r="D36" s="78"/>
      <c r="E36" s="80"/>
      <c r="F36" s="80"/>
      <c r="G36" s="80">
        <f t="shared" si="2"/>
        <v>89</v>
      </c>
      <c r="H36" s="59"/>
    </row>
    <row r="40" spans="1:16" x14ac:dyDescent="0.25">
      <c r="P40" s="57" t="s">
        <v>425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0"/>
  <sheetViews>
    <sheetView topLeftCell="A4" workbookViewId="0">
      <selection activeCell="E33" sqref="E33"/>
    </sheetView>
  </sheetViews>
  <sheetFormatPr defaultRowHeight="16.5" x14ac:dyDescent="0.25"/>
  <cols>
    <col min="1" max="1" width="13.28515625" style="57" customWidth="1"/>
    <col min="2" max="3" width="9.140625" style="57"/>
    <col min="4" max="4" width="28" style="57" customWidth="1"/>
    <col min="5" max="5" width="11.28515625" style="61" bestFit="1" customWidth="1"/>
    <col min="6" max="6" width="10" style="61" bestFit="1" customWidth="1"/>
    <col min="7" max="7" width="11.28515625" style="61" bestFit="1" customWidth="1"/>
    <col min="8" max="16384" width="9.140625" style="57"/>
  </cols>
  <sheetData>
    <row r="2" spans="1:8" x14ac:dyDescent="0.25">
      <c r="A2" s="57" t="s">
        <v>0</v>
      </c>
    </row>
    <row r="3" spans="1:8" x14ac:dyDescent="0.25">
      <c r="A3" s="57" t="s">
        <v>1</v>
      </c>
    </row>
    <row r="4" spans="1:8" x14ac:dyDescent="0.25">
      <c r="A4" s="57" t="s">
        <v>2</v>
      </c>
    </row>
    <row r="5" spans="1:8" x14ac:dyDescent="0.25">
      <c r="A5" s="57" t="s">
        <v>131</v>
      </c>
    </row>
    <row r="7" spans="1:8" x14ac:dyDescent="0.25">
      <c r="A7" s="59" t="s">
        <v>4</v>
      </c>
      <c r="B7" s="59" t="s">
        <v>6</v>
      </c>
      <c r="C7" s="59" t="s">
        <v>5</v>
      </c>
      <c r="D7" s="59" t="s">
        <v>7</v>
      </c>
      <c r="E7" s="62" t="s">
        <v>8</v>
      </c>
      <c r="F7" s="62" t="s">
        <v>9</v>
      </c>
      <c r="G7" s="62" t="s">
        <v>10</v>
      </c>
      <c r="H7" s="59" t="s">
        <v>11</v>
      </c>
    </row>
    <row r="8" spans="1:8" x14ac:dyDescent="0.25">
      <c r="A8" s="71">
        <v>45825</v>
      </c>
      <c r="B8" s="72">
        <v>7347</v>
      </c>
      <c r="C8" s="72"/>
      <c r="D8" s="72" t="s">
        <v>129</v>
      </c>
      <c r="E8" s="73">
        <v>210</v>
      </c>
      <c r="F8" s="73"/>
      <c r="G8" s="73">
        <f>E8</f>
        <v>210</v>
      </c>
      <c r="H8" s="72"/>
    </row>
    <row r="9" spans="1:8" x14ac:dyDescent="0.25">
      <c r="A9" s="81">
        <v>45825</v>
      </c>
      <c r="B9" s="78">
        <v>112799</v>
      </c>
      <c r="C9" s="78">
        <v>2474</v>
      </c>
      <c r="D9" s="78" t="s">
        <v>23</v>
      </c>
      <c r="E9" s="80"/>
      <c r="F9" s="80">
        <v>30</v>
      </c>
      <c r="G9" s="80">
        <f>G8+E9-F9</f>
        <v>180</v>
      </c>
      <c r="H9" s="59"/>
    </row>
    <row r="10" spans="1:8" x14ac:dyDescent="0.25">
      <c r="A10" s="81">
        <v>45836</v>
      </c>
      <c r="B10" s="78">
        <v>113602</v>
      </c>
      <c r="C10" s="78">
        <v>2495</v>
      </c>
      <c r="D10" s="78" t="s">
        <v>56</v>
      </c>
      <c r="E10" s="80"/>
      <c r="F10" s="80">
        <v>50</v>
      </c>
      <c r="G10" s="80">
        <f t="shared" ref="G10:G17" si="0">G9+E10-F10</f>
        <v>130</v>
      </c>
      <c r="H10" s="59"/>
    </row>
    <row r="11" spans="1:8" x14ac:dyDescent="0.25">
      <c r="A11" s="81">
        <v>45838</v>
      </c>
      <c r="B11" s="78"/>
      <c r="C11" s="78"/>
      <c r="D11" s="78" t="s">
        <v>132</v>
      </c>
      <c r="E11" s="80"/>
      <c r="F11" s="80">
        <v>10</v>
      </c>
      <c r="G11" s="80">
        <f t="shared" si="0"/>
        <v>120</v>
      </c>
      <c r="H11" s="59"/>
    </row>
    <row r="12" spans="1:8" x14ac:dyDescent="0.25">
      <c r="A12" s="81">
        <v>45847</v>
      </c>
      <c r="B12" s="78"/>
      <c r="C12" s="78"/>
      <c r="D12" s="78" t="s">
        <v>15</v>
      </c>
      <c r="E12" s="80"/>
      <c r="F12" s="80">
        <v>5</v>
      </c>
      <c r="G12" s="80">
        <f t="shared" si="0"/>
        <v>115</v>
      </c>
      <c r="H12" s="59"/>
    </row>
    <row r="13" spans="1:8" x14ac:dyDescent="0.25">
      <c r="A13" s="81">
        <v>45848</v>
      </c>
      <c r="B13" s="78"/>
      <c r="C13" s="78"/>
      <c r="D13" s="78" t="s">
        <v>23</v>
      </c>
      <c r="E13" s="80"/>
      <c r="F13" s="80">
        <v>30</v>
      </c>
      <c r="G13" s="80">
        <f t="shared" si="0"/>
        <v>85</v>
      </c>
      <c r="H13" s="59"/>
    </row>
    <row r="14" spans="1:8" x14ac:dyDescent="0.25">
      <c r="A14" s="81">
        <v>45849</v>
      </c>
      <c r="B14" s="78"/>
      <c r="C14" s="78"/>
      <c r="D14" s="78" t="s">
        <v>133</v>
      </c>
      <c r="E14" s="80"/>
      <c r="F14" s="80">
        <v>2</v>
      </c>
      <c r="G14" s="80">
        <f t="shared" si="0"/>
        <v>83</v>
      </c>
      <c r="H14" s="59"/>
    </row>
    <row r="15" spans="1:8" x14ac:dyDescent="0.25">
      <c r="A15" s="81">
        <v>45852</v>
      </c>
      <c r="B15" s="78"/>
      <c r="C15" s="78"/>
      <c r="D15" s="78" t="s">
        <v>128</v>
      </c>
      <c r="E15" s="80"/>
      <c r="F15" s="80">
        <v>13.5</v>
      </c>
      <c r="G15" s="80">
        <f t="shared" si="0"/>
        <v>69.5</v>
      </c>
      <c r="H15" s="59"/>
    </row>
    <row r="16" spans="1:8" x14ac:dyDescent="0.25">
      <c r="A16" s="81">
        <v>45852</v>
      </c>
      <c r="B16" s="78"/>
      <c r="C16" s="78"/>
      <c r="D16" s="78" t="s">
        <v>134</v>
      </c>
      <c r="E16" s="80"/>
      <c r="F16" s="80">
        <v>30</v>
      </c>
      <c r="G16" s="80">
        <f t="shared" si="0"/>
        <v>39.5</v>
      </c>
      <c r="H16" s="59"/>
    </row>
    <row r="17" spans="1:8" x14ac:dyDescent="0.25">
      <c r="A17" s="81">
        <v>45853</v>
      </c>
      <c r="B17" s="78"/>
      <c r="C17" s="78"/>
      <c r="D17" s="78" t="s">
        <v>65</v>
      </c>
      <c r="E17" s="80"/>
      <c r="F17" s="80">
        <v>35</v>
      </c>
      <c r="G17" s="80">
        <f t="shared" si="0"/>
        <v>4.5</v>
      </c>
      <c r="H17" s="59"/>
    </row>
    <row r="18" spans="1:8" x14ac:dyDescent="0.25">
      <c r="A18" s="71">
        <v>45864</v>
      </c>
      <c r="B18" s="72"/>
      <c r="C18" s="72"/>
      <c r="D18" s="72" t="s">
        <v>135</v>
      </c>
      <c r="E18" s="73">
        <v>15</v>
      </c>
      <c r="F18" s="73"/>
      <c r="G18" s="73">
        <f t="shared" ref="G18:G30" si="1">G17+E18-F18</f>
        <v>19.5</v>
      </c>
      <c r="H18" s="72"/>
    </row>
    <row r="19" spans="1:8" x14ac:dyDescent="0.25">
      <c r="A19" s="81">
        <v>45944</v>
      </c>
      <c r="B19" s="78"/>
      <c r="C19" s="78"/>
      <c r="D19" s="78" t="s">
        <v>199</v>
      </c>
      <c r="E19" s="80"/>
      <c r="F19" s="80">
        <v>1</v>
      </c>
      <c r="G19" s="80">
        <f t="shared" si="1"/>
        <v>18.5</v>
      </c>
      <c r="H19" s="59"/>
    </row>
    <row r="20" spans="1:8" x14ac:dyDescent="0.25">
      <c r="A20" s="71">
        <v>45971</v>
      </c>
      <c r="B20" s="72"/>
      <c r="C20" s="72"/>
      <c r="D20" s="72" t="s">
        <v>223</v>
      </c>
      <c r="E20" s="73">
        <v>1.5</v>
      </c>
      <c r="F20" s="73"/>
      <c r="G20" s="73">
        <f t="shared" si="1"/>
        <v>20</v>
      </c>
      <c r="H20" s="72"/>
    </row>
    <row r="21" spans="1:8" x14ac:dyDescent="0.25">
      <c r="A21" s="81">
        <v>45971</v>
      </c>
      <c r="B21" s="78">
        <v>206018</v>
      </c>
      <c r="C21" s="78">
        <v>64964</v>
      </c>
      <c r="D21" s="78" t="s">
        <v>100</v>
      </c>
      <c r="E21" s="80"/>
      <c r="F21" s="80">
        <v>20</v>
      </c>
      <c r="G21" s="80">
        <f t="shared" si="1"/>
        <v>0</v>
      </c>
      <c r="H21" s="59"/>
    </row>
    <row r="22" spans="1:8" x14ac:dyDescent="0.25">
      <c r="A22" s="81"/>
      <c r="B22" s="78"/>
      <c r="C22" s="78"/>
      <c r="D22" s="72"/>
      <c r="E22" s="73"/>
      <c r="F22" s="73"/>
      <c r="G22" s="80">
        <f t="shared" si="1"/>
        <v>0</v>
      </c>
      <c r="H22" s="72"/>
    </row>
    <row r="23" spans="1:8" x14ac:dyDescent="0.25">
      <c r="A23" s="81"/>
      <c r="B23" s="78"/>
      <c r="C23" s="78"/>
      <c r="D23" s="78"/>
      <c r="E23" s="80"/>
      <c r="F23" s="80"/>
      <c r="G23" s="80">
        <f t="shared" si="1"/>
        <v>0</v>
      </c>
      <c r="H23" s="59"/>
    </row>
    <row r="24" spans="1:8" x14ac:dyDescent="0.25">
      <c r="A24" s="81"/>
      <c r="B24" s="78"/>
      <c r="C24" s="78"/>
      <c r="D24" s="78"/>
      <c r="E24" s="80"/>
      <c r="F24" s="80"/>
      <c r="G24" s="80">
        <f t="shared" si="1"/>
        <v>0</v>
      </c>
      <c r="H24" s="59"/>
    </row>
    <row r="25" spans="1:8" x14ac:dyDescent="0.25">
      <c r="A25" s="81"/>
      <c r="B25" s="78"/>
      <c r="C25" s="78"/>
      <c r="D25" s="78"/>
      <c r="E25" s="80"/>
      <c r="F25" s="80"/>
      <c r="G25" s="80">
        <f t="shared" si="1"/>
        <v>0</v>
      </c>
      <c r="H25" s="59"/>
    </row>
    <row r="26" spans="1:8" x14ac:dyDescent="0.25">
      <c r="A26" s="81"/>
      <c r="B26" s="78"/>
      <c r="C26" s="78"/>
      <c r="D26" s="78"/>
      <c r="E26" s="80"/>
      <c r="F26" s="80"/>
      <c r="G26" s="80">
        <f t="shared" si="1"/>
        <v>0</v>
      </c>
      <c r="H26" s="59"/>
    </row>
    <row r="27" spans="1:8" x14ac:dyDescent="0.25">
      <c r="A27" s="81"/>
      <c r="B27" s="78"/>
      <c r="C27" s="78"/>
      <c r="D27" s="78"/>
      <c r="E27" s="80"/>
      <c r="F27" s="80"/>
      <c r="G27" s="80">
        <f t="shared" si="1"/>
        <v>0</v>
      </c>
      <c r="H27" s="59"/>
    </row>
    <row r="28" spans="1:8" x14ac:dyDescent="0.25">
      <c r="A28" s="81"/>
      <c r="B28" s="78"/>
      <c r="C28" s="78"/>
      <c r="D28" s="78"/>
      <c r="E28" s="80"/>
      <c r="F28" s="80"/>
      <c r="G28" s="80">
        <f t="shared" si="1"/>
        <v>0</v>
      </c>
      <c r="H28" s="59"/>
    </row>
    <row r="29" spans="1:8" x14ac:dyDescent="0.25">
      <c r="A29" s="81"/>
      <c r="B29" s="78"/>
      <c r="C29" s="78"/>
      <c r="D29" s="78"/>
      <c r="E29" s="80"/>
      <c r="F29" s="80"/>
      <c r="G29" s="80">
        <f t="shared" si="1"/>
        <v>0</v>
      </c>
      <c r="H29" s="59"/>
    </row>
    <row r="30" spans="1:8" x14ac:dyDescent="0.25">
      <c r="A30" s="81"/>
      <c r="B30" s="78"/>
      <c r="C30" s="78"/>
      <c r="D30" s="78"/>
      <c r="E30" s="80"/>
      <c r="F30" s="80"/>
      <c r="G30" s="80">
        <f t="shared" si="1"/>
        <v>0</v>
      </c>
      <c r="H30" s="59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"/>
  <sheetViews>
    <sheetView topLeftCell="A91" workbookViewId="0">
      <selection activeCell="D104" sqref="D104"/>
    </sheetView>
  </sheetViews>
  <sheetFormatPr defaultRowHeight="16.5" x14ac:dyDescent="0.25"/>
  <cols>
    <col min="1" max="3" width="9.28515625" style="57" bestFit="1" customWidth="1"/>
    <col min="4" max="4" width="21.5703125" style="57" customWidth="1"/>
    <col min="5" max="5" width="10" style="61" bestFit="1" customWidth="1"/>
    <col min="6" max="6" width="9.28515625" style="61" bestFit="1" customWidth="1"/>
    <col min="7" max="7" width="10" style="61" bestFit="1" customWidth="1"/>
    <col min="8" max="16384" width="9.140625" style="57"/>
  </cols>
  <sheetData>
    <row r="1" spans="1:8" x14ac:dyDescent="0.25">
      <c r="A1" s="57" t="s">
        <v>0</v>
      </c>
    </row>
    <row r="2" spans="1:8" x14ac:dyDescent="0.25">
      <c r="A2" s="57" t="s">
        <v>1</v>
      </c>
    </row>
    <row r="3" spans="1:8" x14ac:dyDescent="0.25">
      <c r="A3" s="57" t="s">
        <v>2</v>
      </c>
    </row>
    <row r="4" spans="1:8" x14ac:dyDescent="0.25">
      <c r="A4" s="57" t="s">
        <v>136</v>
      </c>
    </row>
    <row r="6" spans="1:8" ht="19.5" customHeight="1" x14ac:dyDescent="0.25">
      <c r="A6" s="59" t="s">
        <v>4</v>
      </c>
      <c r="B6" s="59" t="s">
        <v>6</v>
      </c>
      <c r="C6" s="59" t="s">
        <v>5</v>
      </c>
      <c r="D6" s="59" t="s">
        <v>7</v>
      </c>
      <c r="E6" s="62" t="s">
        <v>8</v>
      </c>
      <c r="F6" s="62" t="s">
        <v>9</v>
      </c>
      <c r="G6" s="62" t="s">
        <v>10</v>
      </c>
      <c r="H6" s="59" t="s">
        <v>11</v>
      </c>
    </row>
    <row r="7" spans="1:8" x14ac:dyDescent="0.25">
      <c r="A7" s="74">
        <v>45812</v>
      </c>
      <c r="B7" s="72"/>
      <c r="C7" s="72"/>
      <c r="D7" s="72" t="s">
        <v>35</v>
      </c>
      <c r="E7" s="73"/>
      <c r="F7" s="73"/>
      <c r="G7" s="73">
        <v>106</v>
      </c>
      <c r="H7" s="72"/>
    </row>
    <row r="8" spans="1:8" x14ac:dyDescent="0.25">
      <c r="A8" s="60">
        <v>45813</v>
      </c>
      <c r="B8" s="59"/>
      <c r="C8" s="59"/>
      <c r="D8" s="59" t="s">
        <v>18</v>
      </c>
      <c r="E8" s="62"/>
      <c r="F8" s="62">
        <v>0.5</v>
      </c>
      <c r="G8" s="62">
        <f>G7+E8-F8</f>
        <v>105.5</v>
      </c>
      <c r="H8" s="59"/>
    </row>
    <row r="9" spans="1:8" x14ac:dyDescent="0.25">
      <c r="A9" s="60">
        <v>45819</v>
      </c>
      <c r="B9" s="59"/>
      <c r="C9" s="59"/>
      <c r="D9" s="59" t="s">
        <v>21</v>
      </c>
      <c r="E9" s="62"/>
      <c r="F9" s="62">
        <v>0.75</v>
      </c>
      <c r="G9" s="62">
        <f t="shared" ref="G9:G16" si="0">G8+E9-F9</f>
        <v>104.75</v>
      </c>
      <c r="H9" s="59"/>
    </row>
    <row r="10" spans="1:8" x14ac:dyDescent="0.25">
      <c r="A10" s="60">
        <v>45820</v>
      </c>
      <c r="B10" s="59"/>
      <c r="C10" s="59"/>
      <c r="D10" s="59" t="s">
        <v>21</v>
      </c>
      <c r="E10" s="62"/>
      <c r="F10" s="62">
        <v>1</v>
      </c>
      <c r="G10" s="62">
        <f t="shared" si="0"/>
        <v>103.75</v>
      </c>
      <c r="H10" s="59"/>
    </row>
    <row r="11" spans="1:8" x14ac:dyDescent="0.25">
      <c r="A11" s="60">
        <v>45820</v>
      </c>
      <c r="B11" s="59"/>
      <c r="C11" s="59"/>
      <c r="D11" s="59" t="s">
        <v>45</v>
      </c>
      <c r="E11" s="62"/>
      <c r="F11" s="62">
        <v>0.5</v>
      </c>
      <c r="G11" s="62">
        <f t="shared" si="0"/>
        <v>103.25</v>
      </c>
      <c r="H11" s="59"/>
    </row>
    <row r="12" spans="1:8" x14ac:dyDescent="0.25">
      <c r="A12" s="74">
        <v>45824</v>
      </c>
      <c r="B12" s="72"/>
      <c r="C12" s="72"/>
      <c r="D12" s="72" t="s">
        <v>137</v>
      </c>
      <c r="E12" s="73">
        <v>2</v>
      </c>
      <c r="F12" s="73"/>
      <c r="G12" s="73">
        <f t="shared" si="0"/>
        <v>105.25</v>
      </c>
      <c r="H12" s="72"/>
    </row>
    <row r="13" spans="1:8" x14ac:dyDescent="0.25">
      <c r="A13" s="60">
        <v>45824</v>
      </c>
      <c r="B13" s="59"/>
      <c r="C13" s="59"/>
      <c r="D13" s="59" t="s">
        <v>138</v>
      </c>
      <c r="E13" s="62"/>
      <c r="F13" s="62">
        <v>2</v>
      </c>
      <c r="G13" s="62">
        <f t="shared" si="0"/>
        <v>103.25</v>
      </c>
      <c r="H13" s="59"/>
    </row>
    <row r="14" spans="1:8" x14ac:dyDescent="0.25">
      <c r="A14" s="60">
        <v>45825</v>
      </c>
      <c r="B14" s="59"/>
      <c r="C14" s="59"/>
      <c r="D14" s="59" t="s">
        <v>62</v>
      </c>
      <c r="E14" s="62"/>
      <c r="F14" s="62">
        <v>1</v>
      </c>
      <c r="G14" s="62">
        <f t="shared" si="0"/>
        <v>102.25</v>
      </c>
      <c r="H14" s="59"/>
    </row>
    <row r="15" spans="1:8" x14ac:dyDescent="0.25">
      <c r="A15" s="60">
        <v>45825</v>
      </c>
      <c r="B15" s="59"/>
      <c r="C15" s="59"/>
      <c r="D15" s="59" t="s">
        <v>61</v>
      </c>
      <c r="E15" s="62"/>
      <c r="F15" s="62">
        <v>1</v>
      </c>
      <c r="G15" s="62">
        <f t="shared" si="0"/>
        <v>101.25</v>
      </c>
      <c r="H15" s="59"/>
    </row>
    <row r="16" spans="1:8" x14ac:dyDescent="0.25">
      <c r="A16" s="60">
        <v>45825</v>
      </c>
      <c r="B16" s="59"/>
      <c r="C16" s="59"/>
      <c r="D16" s="59" t="s">
        <v>31</v>
      </c>
      <c r="E16" s="62"/>
      <c r="F16" s="62">
        <v>0.25</v>
      </c>
      <c r="G16" s="62">
        <f t="shared" si="0"/>
        <v>101</v>
      </c>
      <c r="H16" s="59"/>
    </row>
    <row r="17" spans="1:8" x14ac:dyDescent="0.25">
      <c r="A17" s="60">
        <v>45827</v>
      </c>
      <c r="B17" s="59"/>
      <c r="C17" s="59"/>
      <c r="D17" s="59" t="s">
        <v>138</v>
      </c>
      <c r="E17" s="62"/>
      <c r="F17" s="62">
        <v>2</v>
      </c>
      <c r="G17" s="62">
        <f t="shared" ref="G17:G30" si="1">G16+E17-F17</f>
        <v>99</v>
      </c>
      <c r="H17" s="59"/>
    </row>
    <row r="18" spans="1:8" x14ac:dyDescent="0.25">
      <c r="A18" s="60">
        <v>45828</v>
      </c>
      <c r="B18" s="59"/>
      <c r="C18" s="59"/>
      <c r="D18" s="59" t="s">
        <v>134</v>
      </c>
      <c r="E18" s="62"/>
      <c r="F18" s="62">
        <v>25</v>
      </c>
      <c r="G18" s="62">
        <f t="shared" si="1"/>
        <v>74</v>
      </c>
      <c r="H18" s="59"/>
    </row>
    <row r="19" spans="1:8" x14ac:dyDescent="0.25">
      <c r="A19" s="60">
        <v>45829</v>
      </c>
      <c r="B19" s="59">
        <v>177242</v>
      </c>
      <c r="C19" s="59">
        <v>2485</v>
      </c>
      <c r="D19" s="59" t="s">
        <v>42</v>
      </c>
      <c r="F19" s="62">
        <v>4</v>
      </c>
      <c r="G19" s="62">
        <f t="shared" si="1"/>
        <v>70</v>
      </c>
      <c r="H19" s="59"/>
    </row>
    <row r="20" spans="1:8" x14ac:dyDescent="0.25">
      <c r="A20" s="60">
        <v>45832</v>
      </c>
      <c r="B20" s="59"/>
      <c r="C20" s="59"/>
      <c r="D20" s="59" t="s">
        <v>134</v>
      </c>
      <c r="E20" s="62"/>
      <c r="F20" s="62">
        <v>50</v>
      </c>
      <c r="G20" s="62">
        <f t="shared" si="1"/>
        <v>20</v>
      </c>
      <c r="H20" s="59"/>
    </row>
    <row r="21" spans="1:8" x14ac:dyDescent="0.25">
      <c r="A21" s="60">
        <v>45835</v>
      </c>
      <c r="B21" s="59"/>
      <c r="C21" s="59"/>
      <c r="D21" s="59" t="s">
        <v>60</v>
      </c>
      <c r="E21" s="62"/>
      <c r="F21" s="62">
        <v>0.5</v>
      </c>
      <c r="G21" s="62">
        <f t="shared" si="1"/>
        <v>19.5</v>
      </c>
      <c r="H21" s="59"/>
    </row>
    <row r="22" spans="1:8" x14ac:dyDescent="0.25">
      <c r="A22" s="60">
        <v>45839</v>
      </c>
      <c r="B22" s="59">
        <v>177242</v>
      </c>
      <c r="C22" s="59">
        <v>31856</v>
      </c>
      <c r="D22" s="59" t="s">
        <v>42</v>
      </c>
      <c r="E22" s="62"/>
      <c r="F22" s="62">
        <v>4</v>
      </c>
      <c r="G22" s="62">
        <f t="shared" si="1"/>
        <v>15.5</v>
      </c>
      <c r="H22" s="59"/>
    </row>
    <row r="23" spans="1:8" x14ac:dyDescent="0.25">
      <c r="A23" s="60">
        <v>45841</v>
      </c>
      <c r="B23" s="59"/>
      <c r="C23" s="59"/>
      <c r="D23" s="59" t="s">
        <v>139</v>
      </c>
      <c r="E23" s="62"/>
      <c r="F23" s="62">
        <v>1</v>
      </c>
      <c r="G23" s="62">
        <f t="shared" si="1"/>
        <v>14.5</v>
      </c>
      <c r="H23" s="59"/>
    </row>
    <row r="24" spans="1:8" x14ac:dyDescent="0.25">
      <c r="A24" s="60">
        <v>45846</v>
      </c>
      <c r="B24" s="59"/>
      <c r="C24" s="59"/>
      <c r="D24" s="59" t="s">
        <v>96</v>
      </c>
      <c r="E24" s="62"/>
      <c r="F24" s="62">
        <v>1</v>
      </c>
      <c r="G24" s="62">
        <f t="shared" si="1"/>
        <v>13.5</v>
      </c>
      <c r="H24" s="59"/>
    </row>
    <row r="25" spans="1:8" x14ac:dyDescent="0.25">
      <c r="A25" s="74">
        <v>45847</v>
      </c>
      <c r="B25" s="72"/>
      <c r="C25" s="72"/>
      <c r="D25" s="72" t="s">
        <v>103</v>
      </c>
      <c r="E25" s="73">
        <v>1.5</v>
      </c>
      <c r="F25" s="73"/>
      <c r="G25" s="73">
        <f t="shared" si="1"/>
        <v>15</v>
      </c>
      <c r="H25" s="72"/>
    </row>
    <row r="26" spans="1:8" x14ac:dyDescent="0.25">
      <c r="A26" s="60">
        <v>45847</v>
      </c>
      <c r="B26" s="59"/>
      <c r="C26" s="59"/>
      <c r="D26" s="59" t="s">
        <v>134</v>
      </c>
      <c r="E26" s="62"/>
      <c r="F26" s="62">
        <v>15</v>
      </c>
      <c r="G26" s="62">
        <f t="shared" si="1"/>
        <v>0</v>
      </c>
      <c r="H26" s="59"/>
    </row>
    <row r="27" spans="1:8" x14ac:dyDescent="0.25">
      <c r="A27" s="74">
        <v>45862</v>
      </c>
      <c r="B27" s="72"/>
      <c r="C27" s="72"/>
      <c r="D27" s="72" t="s">
        <v>129</v>
      </c>
      <c r="E27" s="73">
        <v>210</v>
      </c>
      <c r="F27" s="73"/>
      <c r="G27" s="73">
        <f t="shared" si="1"/>
        <v>210</v>
      </c>
      <c r="H27" s="72"/>
    </row>
    <row r="28" spans="1:8" x14ac:dyDescent="0.25">
      <c r="A28" s="60">
        <v>45862</v>
      </c>
      <c r="B28" s="59">
        <v>1947</v>
      </c>
      <c r="C28" s="59">
        <v>6404</v>
      </c>
      <c r="D28" s="59" t="s">
        <v>42</v>
      </c>
      <c r="E28" s="62"/>
      <c r="F28" s="62">
        <v>20</v>
      </c>
      <c r="G28" s="62">
        <f t="shared" si="1"/>
        <v>190</v>
      </c>
      <c r="H28" s="59"/>
    </row>
    <row r="29" spans="1:8" x14ac:dyDescent="0.25">
      <c r="A29" s="60">
        <v>45864</v>
      </c>
      <c r="B29" s="59"/>
      <c r="C29" s="59"/>
      <c r="D29" s="59" t="s">
        <v>134</v>
      </c>
      <c r="E29" s="62"/>
      <c r="F29" s="62">
        <v>5</v>
      </c>
      <c r="G29" s="62">
        <f t="shared" si="1"/>
        <v>185</v>
      </c>
      <c r="H29" s="59"/>
    </row>
    <row r="30" spans="1:8" x14ac:dyDescent="0.25">
      <c r="A30" s="60">
        <v>45873</v>
      </c>
      <c r="B30" s="59"/>
      <c r="C30" s="59"/>
      <c r="D30" s="59" t="s">
        <v>119</v>
      </c>
      <c r="E30" s="62"/>
      <c r="F30" s="62">
        <v>0.5</v>
      </c>
      <c r="G30" s="62">
        <f t="shared" si="1"/>
        <v>184.5</v>
      </c>
      <c r="H30" s="59"/>
    </row>
    <row r="31" spans="1:8" x14ac:dyDescent="0.25">
      <c r="A31" s="60">
        <v>45883</v>
      </c>
      <c r="B31" s="59"/>
      <c r="C31" s="59"/>
      <c r="D31" s="59" t="s">
        <v>88</v>
      </c>
      <c r="E31" s="62"/>
      <c r="F31" s="62">
        <v>10</v>
      </c>
      <c r="G31" s="62">
        <f t="shared" ref="G31:G43" si="2">G30+E31-F31</f>
        <v>174.5</v>
      </c>
      <c r="H31" s="59"/>
    </row>
    <row r="32" spans="1:8" x14ac:dyDescent="0.25">
      <c r="A32" s="60">
        <v>45888</v>
      </c>
      <c r="B32" s="59"/>
      <c r="C32" s="59"/>
      <c r="D32" s="59" t="s">
        <v>140</v>
      </c>
      <c r="E32" s="62"/>
      <c r="F32" s="62">
        <v>0.5</v>
      </c>
      <c r="G32" s="62">
        <f t="shared" si="2"/>
        <v>174</v>
      </c>
      <c r="H32" s="59"/>
    </row>
    <row r="33" spans="1:8" x14ac:dyDescent="0.25">
      <c r="A33" s="60">
        <v>45888</v>
      </c>
      <c r="B33" s="59"/>
      <c r="C33" s="59"/>
      <c r="D33" s="59" t="s">
        <v>134</v>
      </c>
      <c r="E33" s="62"/>
      <c r="F33" s="62">
        <v>15</v>
      </c>
      <c r="G33" s="62">
        <f t="shared" si="2"/>
        <v>159</v>
      </c>
      <c r="H33" s="59"/>
    </row>
    <row r="34" spans="1:8" x14ac:dyDescent="0.25">
      <c r="A34" s="60">
        <v>45893</v>
      </c>
      <c r="B34" s="59"/>
      <c r="C34" s="59"/>
      <c r="D34" s="59" t="s">
        <v>86</v>
      </c>
      <c r="E34" s="62"/>
      <c r="F34" s="62">
        <v>0.5</v>
      </c>
      <c r="G34" s="62">
        <f t="shared" si="2"/>
        <v>158.5</v>
      </c>
      <c r="H34" s="59"/>
    </row>
    <row r="35" spans="1:8" x14ac:dyDescent="0.25">
      <c r="A35" s="60">
        <v>45896</v>
      </c>
      <c r="B35" s="59"/>
      <c r="C35" s="59"/>
      <c r="D35" s="59" t="s">
        <v>134</v>
      </c>
      <c r="E35" s="62"/>
      <c r="F35" s="62">
        <v>15</v>
      </c>
      <c r="G35" s="62">
        <f t="shared" si="2"/>
        <v>143.5</v>
      </c>
      <c r="H35" s="59"/>
    </row>
    <row r="36" spans="1:8" x14ac:dyDescent="0.25">
      <c r="A36" s="60">
        <v>45898</v>
      </c>
      <c r="B36" s="59"/>
      <c r="C36" s="59"/>
      <c r="D36" s="59" t="s">
        <v>59</v>
      </c>
      <c r="E36" s="62"/>
      <c r="F36" s="62">
        <v>0.5</v>
      </c>
      <c r="G36" s="62">
        <f t="shared" si="2"/>
        <v>143</v>
      </c>
      <c r="H36" s="59"/>
    </row>
    <row r="37" spans="1:8" x14ac:dyDescent="0.25">
      <c r="A37" s="60">
        <v>45901</v>
      </c>
      <c r="B37" s="59"/>
      <c r="C37" s="59"/>
      <c r="D37" s="59" t="s">
        <v>77</v>
      </c>
      <c r="E37" s="62"/>
      <c r="F37" s="62">
        <v>1</v>
      </c>
      <c r="G37" s="62">
        <f t="shared" si="2"/>
        <v>142</v>
      </c>
      <c r="H37" s="59"/>
    </row>
    <row r="38" spans="1:8" x14ac:dyDescent="0.25">
      <c r="A38" s="60">
        <v>45906</v>
      </c>
      <c r="B38" s="59"/>
      <c r="C38" s="59"/>
      <c r="D38" s="59" t="s">
        <v>86</v>
      </c>
      <c r="E38" s="62"/>
      <c r="F38" s="62">
        <v>0.25</v>
      </c>
      <c r="G38" s="62">
        <f t="shared" si="2"/>
        <v>141.75</v>
      </c>
      <c r="H38" s="59"/>
    </row>
    <row r="39" spans="1:8" x14ac:dyDescent="0.25">
      <c r="A39" s="60">
        <v>45917</v>
      </c>
      <c r="B39" s="59"/>
      <c r="C39" s="59"/>
      <c r="D39" s="59" t="s">
        <v>57</v>
      </c>
      <c r="E39" s="62"/>
      <c r="F39" s="62">
        <v>1</v>
      </c>
      <c r="G39" s="62">
        <f t="shared" si="2"/>
        <v>140.75</v>
      </c>
      <c r="H39" s="59"/>
    </row>
    <row r="40" spans="1:8" x14ac:dyDescent="0.25">
      <c r="A40" s="60">
        <v>45927</v>
      </c>
      <c r="B40" s="59">
        <v>142529</v>
      </c>
      <c r="C40" s="59">
        <v>72111</v>
      </c>
      <c r="D40" s="59" t="s">
        <v>180</v>
      </c>
      <c r="E40" s="62"/>
      <c r="F40" s="62">
        <v>5</v>
      </c>
      <c r="G40" s="62">
        <f t="shared" si="2"/>
        <v>135.75</v>
      </c>
      <c r="H40" s="59"/>
    </row>
    <row r="41" spans="1:8" x14ac:dyDescent="0.25">
      <c r="A41" s="60">
        <v>45935</v>
      </c>
      <c r="B41" s="59"/>
      <c r="C41" s="59"/>
      <c r="D41" s="59" t="s">
        <v>87</v>
      </c>
      <c r="E41" s="62"/>
      <c r="F41" s="62">
        <v>1</v>
      </c>
      <c r="G41" s="62">
        <f t="shared" si="2"/>
        <v>134.75</v>
      </c>
      <c r="H41" s="59"/>
    </row>
    <row r="42" spans="1:8" x14ac:dyDescent="0.25">
      <c r="A42" s="60">
        <v>45936</v>
      </c>
      <c r="B42" s="59"/>
      <c r="C42" s="59"/>
      <c r="D42" s="59" t="s">
        <v>176</v>
      </c>
      <c r="E42" s="62"/>
      <c r="F42" s="62">
        <v>2</v>
      </c>
      <c r="G42" s="62">
        <f t="shared" si="2"/>
        <v>132.75</v>
      </c>
      <c r="H42" s="59"/>
    </row>
    <row r="43" spans="1:8" x14ac:dyDescent="0.25">
      <c r="A43" s="60">
        <v>45943</v>
      </c>
      <c r="B43" s="59"/>
      <c r="C43" s="59"/>
      <c r="D43" s="59" t="s">
        <v>201</v>
      </c>
      <c r="E43" s="62"/>
      <c r="F43" s="62">
        <v>1</v>
      </c>
      <c r="G43" s="62">
        <f t="shared" si="2"/>
        <v>131.75</v>
      </c>
      <c r="H43" s="59"/>
    </row>
    <row r="44" spans="1:8" x14ac:dyDescent="0.25">
      <c r="A44" s="60">
        <v>45946</v>
      </c>
      <c r="B44" s="59"/>
      <c r="C44" s="59"/>
      <c r="D44" s="59" t="s">
        <v>96</v>
      </c>
      <c r="E44" s="62"/>
      <c r="F44" s="62">
        <v>2</v>
      </c>
      <c r="G44" s="62">
        <f t="shared" ref="G44:G52" si="3">G43+E44-F44</f>
        <v>129.75</v>
      </c>
      <c r="H44" s="59"/>
    </row>
    <row r="45" spans="1:8" x14ac:dyDescent="0.25">
      <c r="A45" s="60">
        <v>45954</v>
      </c>
      <c r="B45" s="59">
        <v>206977</v>
      </c>
      <c r="C45" s="59">
        <v>71319</v>
      </c>
      <c r="D45" s="59" t="s">
        <v>23</v>
      </c>
      <c r="E45" s="62"/>
      <c r="F45" s="62">
        <v>4</v>
      </c>
      <c r="G45" s="62">
        <f t="shared" si="3"/>
        <v>125.75</v>
      </c>
      <c r="H45" s="59"/>
    </row>
    <row r="46" spans="1:8" x14ac:dyDescent="0.25">
      <c r="A46" s="60">
        <v>45955</v>
      </c>
      <c r="B46" s="59"/>
      <c r="C46" s="59"/>
      <c r="D46" s="59" t="s">
        <v>193</v>
      </c>
      <c r="E46" s="62"/>
      <c r="F46" s="62">
        <v>0.25</v>
      </c>
      <c r="G46" s="62">
        <f t="shared" si="3"/>
        <v>125.5</v>
      </c>
      <c r="H46" s="59"/>
    </row>
    <row r="47" spans="1:8" x14ac:dyDescent="0.25">
      <c r="A47" s="60">
        <v>45958</v>
      </c>
      <c r="B47" s="59"/>
      <c r="C47" s="59"/>
      <c r="D47" s="59" t="s">
        <v>134</v>
      </c>
      <c r="E47" s="62"/>
      <c r="F47" s="62">
        <v>10</v>
      </c>
      <c r="G47" s="62">
        <f t="shared" si="3"/>
        <v>115.5</v>
      </c>
      <c r="H47" s="59"/>
    </row>
    <row r="48" spans="1:8" x14ac:dyDescent="0.25">
      <c r="A48" s="60">
        <v>45959</v>
      </c>
      <c r="B48" s="59">
        <v>2157</v>
      </c>
      <c r="C48" s="59">
        <v>71339</v>
      </c>
      <c r="D48" s="59" t="s">
        <v>42</v>
      </c>
      <c r="E48" s="62"/>
      <c r="F48" s="62">
        <v>20</v>
      </c>
      <c r="G48" s="62">
        <f t="shared" si="3"/>
        <v>95.5</v>
      </c>
      <c r="H48" s="59"/>
    </row>
    <row r="49" spans="1:8" x14ac:dyDescent="0.25">
      <c r="A49" s="60">
        <v>45965</v>
      </c>
      <c r="B49" s="59"/>
      <c r="C49" s="59"/>
      <c r="D49" s="59" t="s">
        <v>213</v>
      </c>
      <c r="E49" s="62"/>
      <c r="F49" s="62">
        <v>1</v>
      </c>
      <c r="G49" s="62">
        <f t="shared" si="3"/>
        <v>94.5</v>
      </c>
      <c r="H49" s="59"/>
    </row>
    <row r="50" spans="1:8" x14ac:dyDescent="0.25">
      <c r="A50" s="60">
        <v>45966</v>
      </c>
      <c r="B50" s="59"/>
      <c r="C50" s="59"/>
      <c r="D50" s="59" t="s">
        <v>134</v>
      </c>
      <c r="E50" s="62"/>
      <c r="F50" s="62">
        <v>20</v>
      </c>
      <c r="G50" s="62">
        <f t="shared" si="3"/>
        <v>74.5</v>
      </c>
      <c r="H50" s="59"/>
    </row>
    <row r="51" spans="1:8" x14ac:dyDescent="0.25">
      <c r="A51" s="60">
        <v>45970</v>
      </c>
      <c r="B51" s="59">
        <v>142785</v>
      </c>
      <c r="C51" s="59">
        <v>64958</v>
      </c>
      <c r="D51" s="59" t="s">
        <v>180</v>
      </c>
      <c r="E51" s="62"/>
      <c r="F51" s="62">
        <v>8</v>
      </c>
      <c r="G51" s="62">
        <f t="shared" si="3"/>
        <v>66.5</v>
      </c>
      <c r="H51" s="59"/>
    </row>
    <row r="52" spans="1:8" x14ac:dyDescent="0.25">
      <c r="A52" s="60">
        <v>45972</v>
      </c>
      <c r="B52" s="59"/>
      <c r="C52" s="59"/>
      <c r="D52" s="59" t="s">
        <v>59</v>
      </c>
      <c r="E52" s="62"/>
      <c r="F52" s="62">
        <v>0.25</v>
      </c>
      <c r="G52" s="62">
        <f t="shared" si="3"/>
        <v>66.25</v>
      </c>
      <c r="H52" s="59"/>
    </row>
    <row r="53" spans="1:8" x14ac:dyDescent="0.25">
      <c r="A53" s="60">
        <v>45974</v>
      </c>
      <c r="B53" s="59"/>
      <c r="C53" s="59"/>
      <c r="D53" s="59" t="s">
        <v>267</v>
      </c>
      <c r="E53" s="62"/>
      <c r="F53" s="62">
        <v>2</v>
      </c>
      <c r="G53" s="62">
        <f>G52+E53-F53</f>
        <v>64.25</v>
      </c>
      <c r="H53" s="59"/>
    </row>
    <row r="54" spans="1:8" x14ac:dyDescent="0.25">
      <c r="A54" s="60">
        <v>45975</v>
      </c>
      <c r="B54" s="59"/>
      <c r="C54" s="59"/>
      <c r="D54" s="59" t="s">
        <v>267</v>
      </c>
      <c r="E54" s="62"/>
      <c r="F54" s="62">
        <v>0.5</v>
      </c>
      <c r="G54" s="62">
        <f>G53+E54-F54</f>
        <v>63.75</v>
      </c>
      <c r="H54" s="59"/>
    </row>
    <row r="55" spans="1:8" x14ac:dyDescent="0.25">
      <c r="A55" s="60">
        <v>45979</v>
      </c>
      <c r="B55" s="59"/>
      <c r="C55" s="59"/>
      <c r="D55" s="59" t="s">
        <v>268</v>
      </c>
      <c r="E55" s="62"/>
      <c r="F55" s="62">
        <v>2</v>
      </c>
      <c r="G55" s="62">
        <f>G54+E55-F55</f>
        <v>61.75</v>
      </c>
      <c r="H55" s="59"/>
    </row>
    <row r="56" spans="1:8" x14ac:dyDescent="0.25">
      <c r="A56" s="60">
        <v>45980</v>
      </c>
      <c r="B56" s="59"/>
      <c r="C56" s="59"/>
      <c r="D56" s="59" t="s">
        <v>143</v>
      </c>
      <c r="E56" s="62"/>
      <c r="F56" s="62">
        <v>0.5</v>
      </c>
      <c r="G56" s="62">
        <f>G55+E56-F56</f>
        <v>61.25</v>
      </c>
      <c r="H56" s="59"/>
    </row>
    <row r="57" spans="1:8" x14ac:dyDescent="0.25">
      <c r="A57" s="60">
        <v>45980</v>
      </c>
      <c r="B57" s="59"/>
      <c r="C57" s="59"/>
      <c r="D57" s="59" t="s">
        <v>62</v>
      </c>
      <c r="E57" s="62"/>
      <c r="F57" s="62">
        <v>1.5</v>
      </c>
      <c r="G57" s="62">
        <f t="shared" ref="G57:G62" si="4">G56+E57-F57</f>
        <v>59.75</v>
      </c>
      <c r="H57" s="59"/>
    </row>
    <row r="58" spans="1:8" x14ac:dyDescent="0.25">
      <c r="A58" s="60">
        <v>46000</v>
      </c>
      <c r="B58" s="59"/>
      <c r="C58" s="59"/>
      <c r="D58" s="59" t="s">
        <v>42</v>
      </c>
      <c r="E58" s="62"/>
      <c r="F58" s="62">
        <v>15</v>
      </c>
      <c r="G58" s="62">
        <f t="shared" si="4"/>
        <v>44.75</v>
      </c>
      <c r="H58" s="59"/>
    </row>
    <row r="59" spans="1:8" x14ac:dyDescent="0.25">
      <c r="A59" s="60">
        <v>46000</v>
      </c>
      <c r="B59" s="59"/>
      <c r="C59" s="59"/>
      <c r="D59" s="59" t="s">
        <v>250</v>
      </c>
      <c r="E59" s="62"/>
      <c r="F59" s="62">
        <v>15</v>
      </c>
      <c r="G59" s="62">
        <f t="shared" si="4"/>
        <v>29.75</v>
      </c>
      <c r="H59" s="59"/>
    </row>
    <row r="60" spans="1:8" x14ac:dyDescent="0.25">
      <c r="A60" s="60">
        <v>46001</v>
      </c>
      <c r="B60" s="59"/>
      <c r="C60" s="59"/>
      <c r="D60" s="59" t="s">
        <v>269</v>
      </c>
      <c r="E60" s="62"/>
      <c r="F60" s="62">
        <v>6</v>
      </c>
      <c r="G60" s="62">
        <f t="shared" si="4"/>
        <v>23.75</v>
      </c>
      <c r="H60" s="59"/>
    </row>
    <row r="61" spans="1:8" x14ac:dyDescent="0.25">
      <c r="A61" s="60">
        <v>46005</v>
      </c>
      <c r="B61" s="59"/>
      <c r="C61" s="59"/>
      <c r="D61" s="59" t="s">
        <v>241</v>
      </c>
      <c r="E61" s="62"/>
      <c r="F61" s="62">
        <v>1</v>
      </c>
      <c r="G61" s="62">
        <f t="shared" si="4"/>
        <v>22.75</v>
      </c>
      <c r="H61" s="59"/>
    </row>
    <row r="62" spans="1:8" x14ac:dyDescent="0.25">
      <c r="A62" s="60">
        <v>46006</v>
      </c>
      <c r="B62" s="59"/>
      <c r="C62" s="59"/>
      <c r="D62" s="59" t="s">
        <v>270</v>
      </c>
      <c r="E62" s="62"/>
      <c r="F62" s="62">
        <v>1</v>
      </c>
      <c r="G62" s="62">
        <f t="shared" si="4"/>
        <v>21.75</v>
      </c>
      <c r="H62" s="59"/>
    </row>
    <row r="63" spans="1:8" x14ac:dyDescent="0.25">
      <c r="A63" s="60">
        <v>46008</v>
      </c>
      <c r="B63" s="59"/>
      <c r="C63" s="59"/>
      <c r="D63" s="59" t="s">
        <v>134</v>
      </c>
      <c r="E63" s="62"/>
      <c r="F63" s="62">
        <v>20</v>
      </c>
      <c r="G63" s="62">
        <f t="shared" ref="G63:G97" si="5">G62+E63-F63</f>
        <v>1.75</v>
      </c>
      <c r="H63" s="59"/>
    </row>
    <row r="64" spans="1:8" x14ac:dyDescent="0.25">
      <c r="A64" s="60">
        <v>46011</v>
      </c>
      <c r="B64" s="59"/>
      <c r="C64" s="59"/>
      <c r="D64" s="59" t="s">
        <v>248</v>
      </c>
      <c r="E64" s="62"/>
      <c r="F64" s="62">
        <v>1</v>
      </c>
      <c r="G64" s="62">
        <f t="shared" si="5"/>
        <v>0.75</v>
      </c>
      <c r="H64" s="59"/>
    </row>
    <row r="65" spans="1:8" x14ac:dyDescent="0.25">
      <c r="A65" s="60">
        <v>46013</v>
      </c>
      <c r="B65" s="59"/>
      <c r="C65" s="59"/>
      <c r="D65" s="59" t="s">
        <v>31</v>
      </c>
      <c r="E65" s="62"/>
      <c r="F65" s="62">
        <v>0.75</v>
      </c>
      <c r="G65" s="62">
        <f t="shared" si="5"/>
        <v>0</v>
      </c>
      <c r="H65" s="59"/>
    </row>
    <row r="66" spans="1:8" x14ac:dyDescent="0.25">
      <c r="A66" s="74">
        <v>46017</v>
      </c>
      <c r="B66" s="72"/>
      <c r="C66" s="72"/>
      <c r="D66" s="72" t="s">
        <v>103</v>
      </c>
      <c r="E66" s="73">
        <v>15</v>
      </c>
      <c r="F66" s="73"/>
      <c r="G66" s="73">
        <f t="shared" si="5"/>
        <v>15</v>
      </c>
      <c r="H66" s="72"/>
    </row>
    <row r="67" spans="1:8" x14ac:dyDescent="0.25">
      <c r="A67" s="60">
        <v>46017</v>
      </c>
      <c r="B67" s="59"/>
      <c r="C67" s="59"/>
      <c r="D67" s="59" t="s">
        <v>267</v>
      </c>
      <c r="E67" s="62"/>
      <c r="F67" s="62">
        <v>15</v>
      </c>
      <c r="G67" s="62">
        <f t="shared" si="5"/>
        <v>0</v>
      </c>
      <c r="H67" s="59"/>
    </row>
    <row r="68" spans="1:8" x14ac:dyDescent="0.25">
      <c r="A68" s="74">
        <v>46024</v>
      </c>
      <c r="B68" s="72">
        <v>141299</v>
      </c>
      <c r="C68" s="72"/>
      <c r="D68" s="72" t="s">
        <v>129</v>
      </c>
      <c r="E68" s="73">
        <v>210</v>
      </c>
      <c r="F68" s="73"/>
      <c r="G68" s="73">
        <f t="shared" si="5"/>
        <v>210</v>
      </c>
      <c r="H68" s="59"/>
    </row>
    <row r="69" spans="1:8" x14ac:dyDescent="0.25">
      <c r="A69" s="60">
        <v>46024</v>
      </c>
      <c r="B69" s="59"/>
      <c r="C69" s="59"/>
      <c r="D69" s="59" t="s">
        <v>248</v>
      </c>
      <c r="E69" s="62"/>
      <c r="F69" s="62">
        <v>1</v>
      </c>
      <c r="G69" s="62">
        <f t="shared" si="5"/>
        <v>209</v>
      </c>
      <c r="H69" s="59"/>
    </row>
    <row r="70" spans="1:8" x14ac:dyDescent="0.25">
      <c r="A70" s="60">
        <v>46027</v>
      </c>
      <c r="B70" s="59"/>
      <c r="C70" s="59"/>
      <c r="D70" s="59" t="s">
        <v>138</v>
      </c>
      <c r="E70" s="62"/>
      <c r="F70" s="62">
        <v>20</v>
      </c>
      <c r="G70" s="62">
        <f t="shared" si="5"/>
        <v>189</v>
      </c>
      <c r="H70" s="59"/>
    </row>
    <row r="71" spans="1:8" x14ac:dyDescent="0.25">
      <c r="A71" s="60">
        <v>46031</v>
      </c>
      <c r="B71" s="59"/>
      <c r="C71" s="59"/>
      <c r="D71" s="59" t="s">
        <v>246</v>
      </c>
      <c r="E71" s="62"/>
      <c r="F71" s="62">
        <v>0.25</v>
      </c>
      <c r="G71" s="62">
        <f t="shared" si="5"/>
        <v>188.75</v>
      </c>
      <c r="H71" s="59"/>
    </row>
    <row r="72" spans="1:8" x14ac:dyDescent="0.25">
      <c r="A72" s="60">
        <v>46036</v>
      </c>
      <c r="B72" s="59">
        <v>2419</v>
      </c>
      <c r="C72" s="59">
        <v>58064</v>
      </c>
      <c r="D72" s="59" t="s">
        <v>42</v>
      </c>
      <c r="E72" s="62"/>
      <c r="F72" s="62">
        <v>25</v>
      </c>
      <c r="G72" s="62">
        <f t="shared" si="5"/>
        <v>163.75</v>
      </c>
      <c r="H72" s="59"/>
    </row>
    <row r="73" spans="1:8" x14ac:dyDescent="0.25">
      <c r="A73" s="60">
        <v>46037</v>
      </c>
      <c r="B73" s="59"/>
      <c r="C73" s="59"/>
      <c r="D73" s="59" t="s">
        <v>307</v>
      </c>
      <c r="E73" s="62"/>
      <c r="F73" s="62">
        <v>2</v>
      </c>
      <c r="G73" s="62">
        <f t="shared" si="5"/>
        <v>161.75</v>
      </c>
      <c r="H73" s="59"/>
    </row>
    <row r="74" spans="1:8" x14ac:dyDescent="0.25">
      <c r="A74" s="60">
        <v>46046</v>
      </c>
      <c r="B74" s="59"/>
      <c r="C74" s="59"/>
      <c r="D74" s="59" t="s">
        <v>193</v>
      </c>
      <c r="E74" s="62"/>
      <c r="F74" s="62">
        <v>0.25</v>
      </c>
      <c r="G74" s="62">
        <f t="shared" si="5"/>
        <v>161.5</v>
      </c>
      <c r="H74" s="59"/>
    </row>
    <row r="75" spans="1:8" x14ac:dyDescent="0.25">
      <c r="A75" s="60">
        <v>46048</v>
      </c>
      <c r="B75" s="59"/>
      <c r="C75" s="59"/>
      <c r="D75" s="59" t="s">
        <v>250</v>
      </c>
      <c r="E75" s="62"/>
      <c r="F75" s="62">
        <v>1</v>
      </c>
      <c r="G75" s="62">
        <f t="shared" si="5"/>
        <v>160.5</v>
      </c>
      <c r="H75" s="59"/>
    </row>
    <row r="76" spans="1:8" x14ac:dyDescent="0.25">
      <c r="A76" s="60">
        <v>46053</v>
      </c>
      <c r="B76" s="59"/>
      <c r="C76" s="59"/>
      <c r="D76" s="59" t="s">
        <v>143</v>
      </c>
      <c r="E76" s="62"/>
      <c r="F76" s="62">
        <v>3</v>
      </c>
      <c r="G76" s="62">
        <f t="shared" si="5"/>
        <v>157.5</v>
      </c>
      <c r="H76" s="59"/>
    </row>
    <row r="77" spans="1:8" x14ac:dyDescent="0.25">
      <c r="A77" s="60">
        <v>46065</v>
      </c>
      <c r="B77" s="59"/>
      <c r="C77" s="59"/>
      <c r="D77" s="59" t="s">
        <v>299</v>
      </c>
      <c r="E77" s="62"/>
      <c r="F77" s="62">
        <v>1</v>
      </c>
      <c r="G77" s="62">
        <f t="shared" si="5"/>
        <v>156.5</v>
      </c>
      <c r="H77" s="59"/>
    </row>
    <row r="78" spans="1:8" x14ac:dyDescent="0.25">
      <c r="A78" s="60">
        <v>46068</v>
      </c>
      <c r="B78" s="59"/>
      <c r="C78" s="59"/>
      <c r="D78" s="59" t="s">
        <v>299</v>
      </c>
      <c r="E78" s="62"/>
      <c r="F78" s="62">
        <v>1</v>
      </c>
      <c r="G78" s="62">
        <f t="shared" si="5"/>
        <v>155.5</v>
      </c>
      <c r="H78" s="59"/>
    </row>
    <row r="79" spans="1:8" x14ac:dyDescent="0.25">
      <c r="A79" s="60">
        <v>46071</v>
      </c>
      <c r="B79" s="59"/>
      <c r="C79" s="59"/>
      <c r="D79" s="59" t="s">
        <v>299</v>
      </c>
      <c r="E79" s="62"/>
      <c r="F79" s="62">
        <v>1</v>
      </c>
      <c r="G79" s="62">
        <f t="shared" si="5"/>
        <v>154.5</v>
      </c>
      <c r="H79" s="59"/>
    </row>
    <row r="80" spans="1:8" x14ac:dyDescent="0.25">
      <c r="A80" s="60">
        <v>46072</v>
      </c>
      <c r="B80" s="59"/>
      <c r="C80" s="59"/>
      <c r="D80" s="59" t="s">
        <v>299</v>
      </c>
      <c r="E80" s="62"/>
      <c r="F80" s="62">
        <v>0.5</v>
      </c>
      <c r="G80" s="62">
        <f t="shared" si="5"/>
        <v>154</v>
      </c>
      <c r="H80" s="59"/>
    </row>
    <row r="81" spans="1:8" x14ac:dyDescent="0.25">
      <c r="A81" s="60">
        <v>46075</v>
      </c>
      <c r="B81" s="59"/>
      <c r="C81" s="59"/>
      <c r="D81" s="59" t="s">
        <v>18</v>
      </c>
      <c r="E81" s="62"/>
      <c r="F81" s="62">
        <v>2</v>
      </c>
      <c r="G81" s="62">
        <f t="shared" si="5"/>
        <v>152</v>
      </c>
      <c r="H81" s="59"/>
    </row>
    <row r="82" spans="1:8" x14ac:dyDescent="0.25">
      <c r="A82" s="60">
        <v>46076</v>
      </c>
      <c r="B82" s="59"/>
      <c r="C82" s="59"/>
      <c r="D82" s="59" t="s">
        <v>342</v>
      </c>
      <c r="E82" s="62"/>
      <c r="F82" s="62">
        <v>0.5</v>
      </c>
      <c r="G82" s="62">
        <f t="shared" si="5"/>
        <v>151.5</v>
      </c>
      <c r="H82" s="59"/>
    </row>
    <row r="83" spans="1:8" x14ac:dyDescent="0.25">
      <c r="A83" s="60">
        <v>46077</v>
      </c>
      <c r="B83" s="59"/>
      <c r="C83" s="59"/>
      <c r="D83" s="59" t="s">
        <v>55</v>
      </c>
      <c r="E83" s="62"/>
      <c r="F83" s="62">
        <v>1</v>
      </c>
      <c r="G83" s="62">
        <f t="shared" si="5"/>
        <v>150.5</v>
      </c>
      <c r="H83" s="59"/>
    </row>
    <row r="84" spans="1:8" x14ac:dyDescent="0.25">
      <c r="A84" s="60">
        <v>46077</v>
      </c>
      <c r="B84" s="59"/>
      <c r="C84" s="59"/>
      <c r="D84" s="59" t="s">
        <v>62</v>
      </c>
      <c r="E84" s="62"/>
      <c r="F84" s="62">
        <v>1</v>
      </c>
      <c r="G84" s="62">
        <f t="shared" si="5"/>
        <v>149.5</v>
      </c>
      <c r="H84" s="59"/>
    </row>
    <row r="85" spans="1:8" x14ac:dyDescent="0.25">
      <c r="A85" s="60">
        <v>46077</v>
      </c>
      <c r="B85" s="59"/>
      <c r="C85" s="59"/>
      <c r="D85" s="59" t="s">
        <v>359</v>
      </c>
      <c r="E85" s="62"/>
      <c r="F85" s="62">
        <v>15</v>
      </c>
      <c r="G85" s="62">
        <f t="shared" si="5"/>
        <v>134.5</v>
      </c>
      <c r="H85" s="59"/>
    </row>
    <row r="86" spans="1:8" x14ac:dyDescent="0.25">
      <c r="A86" s="60">
        <v>46077</v>
      </c>
      <c r="B86" s="59"/>
      <c r="C86" s="59"/>
      <c r="D86" s="59" t="s">
        <v>143</v>
      </c>
      <c r="E86" s="62"/>
      <c r="F86" s="62">
        <v>2</v>
      </c>
      <c r="G86" s="62">
        <f t="shared" si="5"/>
        <v>132.5</v>
      </c>
      <c r="H86" s="59"/>
    </row>
    <row r="87" spans="1:8" x14ac:dyDescent="0.25">
      <c r="A87" s="60">
        <v>46078</v>
      </c>
      <c r="B87" s="59"/>
      <c r="C87" s="59"/>
      <c r="D87" s="59" t="s">
        <v>362</v>
      </c>
      <c r="E87" s="62"/>
      <c r="F87" s="62">
        <v>0.5</v>
      </c>
      <c r="G87" s="62">
        <f t="shared" si="5"/>
        <v>132</v>
      </c>
      <c r="H87" s="59"/>
    </row>
    <row r="88" spans="1:8" x14ac:dyDescent="0.25">
      <c r="A88" s="60">
        <v>46086</v>
      </c>
      <c r="B88" s="59"/>
      <c r="C88" s="59"/>
      <c r="D88" s="59" t="s">
        <v>134</v>
      </c>
      <c r="E88" s="62"/>
      <c r="F88" s="62">
        <v>20</v>
      </c>
      <c r="G88" s="62">
        <f t="shared" si="5"/>
        <v>112</v>
      </c>
      <c r="H88" s="59"/>
    </row>
    <row r="89" spans="1:8" x14ac:dyDescent="0.25">
      <c r="A89" s="60">
        <v>46088</v>
      </c>
      <c r="B89" s="59">
        <v>2560</v>
      </c>
      <c r="C89" s="59">
        <v>58096</v>
      </c>
      <c r="D89" s="59" t="s">
        <v>373</v>
      </c>
      <c r="E89" s="62"/>
      <c r="F89" s="62">
        <v>10</v>
      </c>
      <c r="G89" s="62">
        <f t="shared" si="5"/>
        <v>102</v>
      </c>
      <c r="H89" s="59"/>
    </row>
    <row r="90" spans="1:8" x14ac:dyDescent="0.25">
      <c r="A90" s="60">
        <v>46089</v>
      </c>
      <c r="B90" s="59"/>
      <c r="C90" s="59"/>
      <c r="D90" s="59" t="s">
        <v>374</v>
      </c>
      <c r="E90" s="62"/>
      <c r="F90" s="62">
        <v>1</v>
      </c>
      <c r="G90" s="62">
        <f t="shared" si="5"/>
        <v>101</v>
      </c>
      <c r="H90" s="59"/>
    </row>
    <row r="91" spans="1:8" x14ac:dyDescent="0.25">
      <c r="A91" s="60">
        <v>46093</v>
      </c>
      <c r="B91" s="59"/>
      <c r="C91" s="59"/>
      <c r="D91" s="59" t="s">
        <v>75</v>
      </c>
      <c r="E91" s="62"/>
      <c r="F91" s="62">
        <v>0.5</v>
      </c>
      <c r="G91" s="62">
        <f t="shared" si="5"/>
        <v>100.5</v>
      </c>
      <c r="H91" s="59"/>
    </row>
    <row r="92" spans="1:8" x14ac:dyDescent="0.25">
      <c r="A92" s="60">
        <v>46094</v>
      </c>
      <c r="B92" s="59"/>
      <c r="C92" s="59"/>
      <c r="D92" s="59" t="s">
        <v>213</v>
      </c>
      <c r="E92" s="62"/>
      <c r="F92" s="62">
        <v>1</v>
      </c>
      <c r="G92" s="62">
        <f t="shared" si="5"/>
        <v>99.5</v>
      </c>
      <c r="H92" s="59"/>
    </row>
    <row r="93" spans="1:8" x14ac:dyDescent="0.25">
      <c r="A93" s="60">
        <v>46099</v>
      </c>
      <c r="B93" s="59"/>
      <c r="C93" s="59"/>
      <c r="D93" s="59" t="s">
        <v>379</v>
      </c>
      <c r="E93" s="62"/>
      <c r="F93" s="62">
        <v>1</v>
      </c>
      <c r="G93" s="62">
        <f t="shared" si="5"/>
        <v>98.5</v>
      </c>
      <c r="H93" s="59"/>
    </row>
    <row r="94" spans="1:8" x14ac:dyDescent="0.25">
      <c r="A94" s="60">
        <v>46134</v>
      </c>
      <c r="B94" s="59"/>
      <c r="C94" s="59"/>
      <c r="D94" s="59" t="s">
        <v>213</v>
      </c>
      <c r="E94" s="62"/>
      <c r="F94" s="62">
        <v>0.75</v>
      </c>
      <c r="G94" s="62">
        <f t="shared" si="5"/>
        <v>97.75</v>
      </c>
      <c r="H94" s="59"/>
    </row>
    <row r="95" spans="1:8" x14ac:dyDescent="0.25">
      <c r="A95" s="60">
        <v>46140</v>
      </c>
      <c r="B95" s="59"/>
      <c r="C95" s="59"/>
      <c r="D95" s="59" t="s">
        <v>348</v>
      </c>
      <c r="E95" s="62"/>
      <c r="F95" s="62">
        <v>1</v>
      </c>
      <c r="G95" s="62">
        <f t="shared" si="5"/>
        <v>96.75</v>
      </c>
      <c r="H95" s="59"/>
    </row>
    <row r="96" spans="1:8" x14ac:dyDescent="0.25">
      <c r="A96" s="60">
        <v>46157</v>
      </c>
      <c r="B96" s="59"/>
      <c r="C96" s="59"/>
      <c r="D96" s="59" t="s">
        <v>59</v>
      </c>
      <c r="E96" s="62"/>
      <c r="F96" s="62">
        <v>0.5</v>
      </c>
      <c r="G96" s="62">
        <f t="shared" si="5"/>
        <v>96.25</v>
      </c>
      <c r="H96" s="59"/>
    </row>
    <row r="97" spans="1:8" x14ac:dyDescent="0.25">
      <c r="A97" s="60">
        <v>46168</v>
      </c>
      <c r="B97" s="59"/>
      <c r="C97" s="59"/>
      <c r="D97" s="59" t="s">
        <v>119</v>
      </c>
      <c r="E97" s="62"/>
      <c r="F97" s="62">
        <v>0.5</v>
      </c>
      <c r="G97" s="62">
        <f t="shared" si="5"/>
        <v>95.75</v>
      </c>
      <c r="H97" s="59"/>
    </row>
    <row r="98" spans="1:8" x14ac:dyDescent="0.25">
      <c r="A98" s="60">
        <v>46171</v>
      </c>
      <c r="B98" s="59"/>
      <c r="C98" s="59"/>
      <c r="D98" s="59" t="s">
        <v>299</v>
      </c>
      <c r="E98" s="62"/>
      <c r="F98" s="62">
        <v>0.75</v>
      </c>
      <c r="G98" s="62">
        <f>G97+E98-F98</f>
        <v>95</v>
      </c>
      <c r="H98" s="59"/>
    </row>
    <row r="99" spans="1:8" x14ac:dyDescent="0.25">
      <c r="A99" s="60">
        <v>46174</v>
      </c>
      <c r="B99" s="59"/>
      <c r="C99" s="59"/>
      <c r="D99" s="59" t="s">
        <v>433</v>
      </c>
      <c r="E99" s="62"/>
      <c r="F99" s="62">
        <v>1</v>
      </c>
      <c r="G99" s="62">
        <f>G98+E99-F99</f>
        <v>94</v>
      </c>
      <c r="H99" s="59"/>
    </row>
    <row r="100" spans="1:8" x14ac:dyDescent="0.25">
      <c r="A100" s="59"/>
      <c r="B100" s="59"/>
      <c r="C100" s="59"/>
      <c r="D100" s="59"/>
      <c r="E100" s="62"/>
      <c r="F100" s="62"/>
      <c r="G100" s="62">
        <f>G99+E100-F100</f>
        <v>94</v>
      </c>
      <c r="H100" s="59"/>
    </row>
    <row r="101" spans="1:8" x14ac:dyDescent="0.25">
      <c r="A101" s="59"/>
      <c r="B101" s="59"/>
      <c r="C101" s="59"/>
      <c r="D101" s="59"/>
      <c r="E101" s="62"/>
      <c r="F101" s="62"/>
      <c r="G101" s="62">
        <f>G100+E101-F101</f>
        <v>94</v>
      </c>
      <c r="H101" s="59"/>
    </row>
    <row r="102" spans="1:8" x14ac:dyDescent="0.25">
      <c r="A102" s="59"/>
      <c r="B102" s="59"/>
      <c r="C102" s="59"/>
      <c r="D102" s="59"/>
      <c r="E102" s="62"/>
      <c r="F102" s="62"/>
      <c r="G102" s="62">
        <f t="shared" ref="G102:G110" si="6">G101+E102-F102</f>
        <v>94</v>
      </c>
      <c r="H102" s="59"/>
    </row>
    <row r="103" spans="1:8" x14ac:dyDescent="0.25">
      <c r="A103" s="59"/>
      <c r="B103" s="59"/>
      <c r="C103" s="59"/>
      <c r="D103" s="59"/>
      <c r="E103" s="62"/>
      <c r="F103" s="62"/>
      <c r="G103" s="62">
        <f t="shared" si="6"/>
        <v>94</v>
      </c>
      <c r="H103" s="59"/>
    </row>
    <row r="104" spans="1:8" x14ac:dyDescent="0.25">
      <c r="A104" s="59"/>
      <c r="B104" s="59"/>
      <c r="C104" s="59"/>
      <c r="D104" s="59"/>
      <c r="E104" s="62"/>
      <c r="F104" s="62"/>
      <c r="G104" s="62">
        <f t="shared" si="6"/>
        <v>94</v>
      </c>
      <c r="H104" s="59"/>
    </row>
    <row r="105" spans="1:8" x14ac:dyDescent="0.25">
      <c r="A105" s="59"/>
      <c r="B105" s="59"/>
      <c r="C105" s="59"/>
      <c r="D105" s="59"/>
      <c r="E105" s="62"/>
      <c r="F105" s="62"/>
      <c r="G105" s="62">
        <f t="shared" si="6"/>
        <v>94</v>
      </c>
      <c r="H105" s="59"/>
    </row>
    <row r="106" spans="1:8" x14ac:dyDescent="0.25">
      <c r="A106" s="59"/>
      <c r="B106" s="59"/>
      <c r="C106" s="59"/>
      <c r="D106" s="59"/>
      <c r="E106" s="62"/>
      <c r="F106" s="62"/>
      <c r="G106" s="62">
        <f t="shared" si="6"/>
        <v>94</v>
      </c>
      <c r="H106" s="59"/>
    </row>
    <row r="107" spans="1:8" x14ac:dyDescent="0.25">
      <c r="A107" s="59"/>
      <c r="B107" s="59"/>
      <c r="C107" s="59"/>
      <c r="D107" s="59"/>
      <c r="E107" s="62"/>
      <c r="F107" s="62"/>
      <c r="G107" s="62">
        <f t="shared" si="6"/>
        <v>94</v>
      </c>
      <c r="H107" s="59"/>
    </row>
    <row r="108" spans="1:8" x14ac:dyDescent="0.25">
      <c r="A108" s="59"/>
      <c r="B108" s="59"/>
      <c r="C108" s="59"/>
      <c r="D108" s="59"/>
      <c r="E108" s="62"/>
      <c r="F108" s="62"/>
      <c r="G108" s="62">
        <f t="shared" si="6"/>
        <v>94</v>
      </c>
      <c r="H108" s="59"/>
    </row>
    <row r="109" spans="1:8" x14ac:dyDescent="0.25">
      <c r="A109" s="59"/>
      <c r="B109" s="59"/>
      <c r="C109" s="59"/>
      <c r="D109" s="59"/>
      <c r="E109" s="62"/>
      <c r="F109" s="62"/>
      <c r="G109" s="62">
        <f t="shared" si="6"/>
        <v>94</v>
      </c>
      <c r="H109" s="59"/>
    </row>
    <row r="110" spans="1:8" x14ac:dyDescent="0.25">
      <c r="A110" s="59"/>
      <c r="B110" s="59"/>
      <c r="C110" s="59"/>
      <c r="D110" s="59"/>
      <c r="E110" s="62"/>
      <c r="F110" s="62"/>
      <c r="G110" s="62">
        <f t="shared" si="6"/>
        <v>94</v>
      </c>
      <c r="H110" s="59"/>
    </row>
  </sheetData>
  <autoFilter ref="A6:H96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7"/>
  <sheetViews>
    <sheetView zoomScaleNormal="100" workbookViewId="0">
      <pane ySplit="2100" topLeftCell="A112" activePane="bottomLeft"/>
      <selection activeCell="E1" sqref="E1:G1048576"/>
      <selection pane="bottomLeft" activeCell="G137" sqref="G137"/>
    </sheetView>
  </sheetViews>
  <sheetFormatPr defaultRowHeight="15" x14ac:dyDescent="0.25"/>
  <cols>
    <col min="1" max="1" width="10.28515625" style="31" bestFit="1" customWidth="1"/>
    <col min="2" max="3" width="9.28515625" style="31" bestFit="1" customWidth="1"/>
    <col min="4" max="4" width="26.28515625" style="31" customWidth="1"/>
    <col min="5" max="7" width="9.28515625" style="44" bestFit="1" customWidth="1"/>
    <col min="8" max="16384" width="9.140625" style="31"/>
  </cols>
  <sheetData>
    <row r="1" spans="1:8" x14ac:dyDescent="0.25">
      <c r="A1" s="31" t="s">
        <v>0</v>
      </c>
    </row>
    <row r="2" spans="1:8" x14ac:dyDescent="0.25">
      <c r="A2" s="31" t="s">
        <v>1</v>
      </c>
    </row>
    <row r="3" spans="1:8" x14ac:dyDescent="0.25">
      <c r="A3" s="31" t="s">
        <v>2</v>
      </c>
    </row>
    <row r="4" spans="1:8" x14ac:dyDescent="0.25">
      <c r="A4" s="31" t="s">
        <v>141</v>
      </c>
    </row>
    <row r="6" spans="1:8" x14ac:dyDescent="0.25">
      <c r="A6" s="27" t="s">
        <v>4</v>
      </c>
      <c r="B6" s="27" t="s">
        <v>6</v>
      </c>
      <c r="C6" s="27" t="s">
        <v>5</v>
      </c>
      <c r="D6" s="27" t="s">
        <v>7</v>
      </c>
      <c r="E6" s="42" t="s">
        <v>8</v>
      </c>
      <c r="F6" s="42" t="s">
        <v>9</v>
      </c>
      <c r="G6" s="42" t="s">
        <v>10</v>
      </c>
      <c r="H6" s="27" t="s">
        <v>11</v>
      </c>
    </row>
    <row r="7" spans="1:8" x14ac:dyDescent="0.25">
      <c r="A7" s="39">
        <v>45809</v>
      </c>
      <c r="B7" s="27"/>
      <c r="C7" s="27"/>
      <c r="D7" s="27" t="s">
        <v>35</v>
      </c>
      <c r="E7" s="42"/>
      <c r="F7" s="42"/>
      <c r="G7" s="42">
        <v>91</v>
      </c>
      <c r="H7" s="27"/>
    </row>
    <row r="8" spans="1:8" x14ac:dyDescent="0.25">
      <c r="A8" s="40">
        <v>45811</v>
      </c>
      <c r="B8" s="29"/>
      <c r="C8" s="29"/>
      <c r="D8" s="29" t="s">
        <v>129</v>
      </c>
      <c r="E8" s="43">
        <v>210</v>
      </c>
      <c r="F8" s="43"/>
      <c r="G8" s="43">
        <f>G7+E8-F8</f>
        <v>301</v>
      </c>
      <c r="H8" s="29"/>
    </row>
    <row r="9" spans="1:8" x14ac:dyDescent="0.25">
      <c r="A9" s="39">
        <v>45811</v>
      </c>
      <c r="B9" s="27"/>
      <c r="C9" s="27"/>
      <c r="D9" s="27" t="s">
        <v>42</v>
      </c>
      <c r="E9" s="42"/>
      <c r="F9" s="42">
        <v>100</v>
      </c>
      <c r="G9" s="42">
        <f t="shared" ref="G9:G16" si="0">G8+E9-F9</f>
        <v>201</v>
      </c>
      <c r="H9" s="27"/>
    </row>
    <row r="10" spans="1:8" x14ac:dyDescent="0.25">
      <c r="A10" s="39">
        <v>45819</v>
      </c>
      <c r="B10" s="27"/>
      <c r="C10" s="27"/>
      <c r="D10" s="27" t="s">
        <v>21</v>
      </c>
      <c r="E10" s="42"/>
      <c r="F10" s="42">
        <v>5</v>
      </c>
      <c r="G10" s="42">
        <f t="shared" si="0"/>
        <v>196</v>
      </c>
      <c r="H10" s="27"/>
    </row>
    <row r="11" spans="1:8" x14ac:dyDescent="0.25">
      <c r="A11" s="39">
        <v>45820</v>
      </c>
      <c r="B11" s="27"/>
      <c r="C11" s="27"/>
      <c r="D11" s="27" t="s">
        <v>45</v>
      </c>
      <c r="E11" s="42"/>
      <c r="F11" s="42">
        <v>3</v>
      </c>
      <c r="G11" s="42">
        <f t="shared" si="0"/>
        <v>193</v>
      </c>
      <c r="H11" s="27"/>
    </row>
    <row r="12" spans="1:8" x14ac:dyDescent="0.25">
      <c r="A12" s="39">
        <v>45822</v>
      </c>
      <c r="B12" s="27"/>
      <c r="C12" s="27"/>
      <c r="D12" s="27" t="s">
        <v>26</v>
      </c>
      <c r="E12" s="42"/>
      <c r="F12" s="42">
        <v>1</v>
      </c>
      <c r="G12" s="42">
        <f t="shared" si="0"/>
        <v>192</v>
      </c>
      <c r="H12" s="27"/>
    </row>
    <row r="13" spans="1:8" x14ac:dyDescent="0.25">
      <c r="A13" s="39">
        <v>45823</v>
      </c>
      <c r="B13" s="27"/>
      <c r="C13" s="27"/>
      <c r="D13" s="27" t="s">
        <v>25</v>
      </c>
      <c r="E13" s="42"/>
      <c r="F13" s="42">
        <v>1</v>
      </c>
      <c r="G13" s="42">
        <f t="shared" si="0"/>
        <v>191</v>
      </c>
      <c r="H13" s="27"/>
    </row>
    <row r="14" spans="1:8" x14ac:dyDescent="0.25">
      <c r="A14" s="39">
        <v>45825</v>
      </c>
      <c r="B14" s="27"/>
      <c r="C14" s="27"/>
      <c r="D14" s="27" t="s">
        <v>50</v>
      </c>
      <c r="E14" s="42"/>
      <c r="F14" s="42">
        <v>30</v>
      </c>
      <c r="G14" s="42">
        <f t="shared" si="0"/>
        <v>161</v>
      </c>
      <c r="H14" s="27"/>
    </row>
    <row r="15" spans="1:8" x14ac:dyDescent="0.25">
      <c r="A15" s="39">
        <v>45826</v>
      </c>
      <c r="B15" s="27"/>
      <c r="C15" s="27"/>
      <c r="D15" s="27" t="s">
        <v>142</v>
      </c>
      <c r="E15" s="42"/>
      <c r="F15" s="42">
        <v>5</v>
      </c>
      <c r="G15" s="42">
        <f t="shared" si="0"/>
        <v>156</v>
      </c>
      <c r="H15" s="27"/>
    </row>
    <row r="16" spans="1:8" x14ac:dyDescent="0.25">
      <c r="A16" s="39">
        <v>45826</v>
      </c>
      <c r="B16" s="27"/>
      <c r="C16" s="27"/>
      <c r="D16" s="27" t="s">
        <v>142</v>
      </c>
      <c r="E16" s="42"/>
      <c r="F16" s="42">
        <v>2</v>
      </c>
      <c r="G16" s="42">
        <f t="shared" si="0"/>
        <v>154</v>
      </c>
      <c r="H16" s="27"/>
    </row>
    <row r="17" spans="1:8" x14ac:dyDescent="0.25">
      <c r="A17" s="39">
        <v>45826</v>
      </c>
      <c r="B17" s="27"/>
      <c r="C17" s="27"/>
      <c r="D17" s="27" t="s">
        <v>142</v>
      </c>
      <c r="E17" s="42"/>
      <c r="F17" s="42">
        <v>1</v>
      </c>
      <c r="G17" s="42">
        <f t="shared" ref="G17:G30" si="1">G16+E17-F17</f>
        <v>153</v>
      </c>
      <c r="H17" s="27"/>
    </row>
    <row r="18" spans="1:8" x14ac:dyDescent="0.25">
      <c r="A18" s="39">
        <v>45828</v>
      </c>
      <c r="B18" s="27"/>
      <c r="C18" s="27"/>
      <c r="D18" s="27" t="s">
        <v>134</v>
      </c>
      <c r="E18" s="42"/>
      <c r="F18" s="42">
        <v>20</v>
      </c>
      <c r="G18" s="42">
        <f t="shared" si="1"/>
        <v>133</v>
      </c>
      <c r="H18" s="27"/>
    </row>
    <row r="19" spans="1:8" x14ac:dyDescent="0.25">
      <c r="A19" s="39">
        <v>45828</v>
      </c>
      <c r="B19" s="27"/>
      <c r="C19" s="27"/>
      <c r="D19" s="27" t="s">
        <v>143</v>
      </c>
      <c r="E19" s="42"/>
      <c r="F19" s="42">
        <v>1</v>
      </c>
      <c r="G19" s="42">
        <f t="shared" si="1"/>
        <v>132</v>
      </c>
      <c r="H19" s="27"/>
    </row>
    <row r="20" spans="1:8" x14ac:dyDescent="0.25">
      <c r="A20" s="39">
        <v>45832</v>
      </c>
      <c r="B20" s="27"/>
      <c r="C20" s="27"/>
      <c r="D20" s="27" t="s">
        <v>134</v>
      </c>
      <c r="E20" s="42"/>
      <c r="F20" s="42">
        <v>50</v>
      </c>
      <c r="G20" s="42">
        <f t="shared" si="1"/>
        <v>82</v>
      </c>
      <c r="H20" s="27"/>
    </row>
    <row r="21" spans="1:8" x14ac:dyDescent="0.25">
      <c r="A21" s="39">
        <v>45835</v>
      </c>
      <c r="B21" s="27"/>
      <c r="C21" s="27"/>
      <c r="D21" s="27" t="s">
        <v>60</v>
      </c>
      <c r="E21" s="42"/>
      <c r="F21" s="42">
        <v>2</v>
      </c>
      <c r="G21" s="42">
        <f t="shared" si="1"/>
        <v>80</v>
      </c>
      <c r="H21" s="27"/>
    </row>
    <row r="22" spans="1:8" x14ac:dyDescent="0.25">
      <c r="A22" s="39">
        <v>45840</v>
      </c>
      <c r="B22" s="27"/>
      <c r="C22" s="27"/>
      <c r="D22" s="27" t="s">
        <v>60</v>
      </c>
      <c r="E22" s="42"/>
      <c r="F22" s="42">
        <v>14</v>
      </c>
      <c r="G22" s="42">
        <f t="shared" si="1"/>
        <v>66</v>
      </c>
      <c r="H22" s="27"/>
    </row>
    <row r="23" spans="1:8" x14ac:dyDescent="0.25">
      <c r="A23" s="39">
        <v>45847</v>
      </c>
      <c r="B23" s="27"/>
      <c r="C23" s="27"/>
      <c r="D23" s="27" t="s">
        <v>15</v>
      </c>
      <c r="E23" s="42"/>
      <c r="F23" s="42">
        <v>15</v>
      </c>
      <c r="G23" s="42">
        <f t="shared" si="1"/>
        <v>51</v>
      </c>
      <c r="H23" s="27"/>
    </row>
    <row r="24" spans="1:8" x14ac:dyDescent="0.25">
      <c r="A24" s="40">
        <v>45848</v>
      </c>
      <c r="B24" s="29"/>
      <c r="C24" s="29"/>
      <c r="D24" s="29" t="s">
        <v>103</v>
      </c>
      <c r="E24" s="43">
        <v>13</v>
      </c>
      <c r="F24" s="43"/>
      <c r="G24" s="43">
        <f t="shared" si="1"/>
        <v>64</v>
      </c>
      <c r="H24" s="29"/>
    </row>
    <row r="25" spans="1:8" x14ac:dyDescent="0.25">
      <c r="A25" s="39">
        <v>45848</v>
      </c>
      <c r="B25" s="27"/>
      <c r="C25" s="27"/>
      <c r="D25" s="27" t="s">
        <v>88</v>
      </c>
      <c r="E25" s="42"/>
      <c r="F25" s="42">
        <v>60</v>
      </c>
      <c r="G25" s="42">
        <f t="shared" si="1"/>
        <v>4</v>
      </c>
      <c r="H25" s="27"/>
    </row>
    <row r="26" spans="1:8" x14ac:dyDescent="0.25">
      <c r="A26" s="39">
        <v>45848</v>
      </c>
      <c r="B26" s="27"/>
      <c r="C26" s="27"/>
      <c r="D26" s="27" t="s">
        <v>134</v>
      </c>
      <c r="E26" s="42"/>
      <c r="F26" s="42">
        <v>4</v>
      </c>
      <c r="G26" s="42">
        <f t="shared" si="1"/>
        <v>0</v>
      </c>
      <c r="H26" s="27"/>
    </row>
    <row r="27" spans="1:8" x14ac:dyDescent="0.25">
      <c r="A27" s="40">
        <v>45852</v>
      </c>
      <c r="B27" s="29"/>
      <c r="C27" s="29"/>
      <c r="D27" s="29" t="s">
        <v>129</v>
      </c>
      <c r="E27" s="43">
        <v>210</v>
      </c>
      <c r="F27" s="43"/>
      <c r="G27" s="43">
        <f t="shared" si="1"/>
        <v>210</v>
      </c>
      <c r="H27" s="29"/>
    </row>
    <row r="28" spans="1:8" x14ac:dyDescent="0.25">
      <c r="A28" s="39">
        <v>45852</v>
      </c>
      <c r="B28" s="27">
        <v>1936</v>
      </c>
      <c r="C28" s="27">
        <v>31882</v>
      </c>
      <c r="D28" s="27" t="s">
        <v>42</v>
      </c>
      <c r="E28" s="42"/>
      <c r="F28" s="42">
        <v>20</v>
      </c>
      <c r="G28" s="42">
        <f t="shared" si="1"/>
        <v>190</v>
      </c>
      <c r="H28" s="27"/>
    </row>
    <row r="29" spans="1:8" x14ac:dyDescent="0.25">
      <c r="A29" s="39">
        <v>45851</v>
      </c>
      <c r="B29" s="27"/>
      <c r="C29" s="27"/>
      <c r="D29" s="27" t="s">
        <v>63</v>
      </c>
      <c r="E29" s="42"/>
      <c r="F29" s="42">
        <v>4</v>
      </c>
      <c r="G29" s="42">
        <f t="shared" si="1"/>
        <v>186</v>
      </c>
      <c r="H29" s="27"/>
    </row>
    <row r="30" spans="1:8" x14ac:dyDescent="0.25">
      <c r="A30" s="39">
        <v>45856</v>
      </c>
      <c r="B30" s="27"/>
      <c r="C30" s="27"/>
      <c r="D30" s="27" t="s">
        <v>119</v>
      </c>
      <c r="E30" s="42"/>
      <c r="F30" s="42">
        <v>8</v>
      </c>
      <c r="G30" s="42">
        <f t="shared" si="1"/>
        <v>178</v>
      </c>
      <c r="H30" s="27"/>
    </row>
    <row r="31" spans="1:8" x14ac:dyDescent="0.25">
      <c r="A31" s="39">
        <v>45859</v>
      </c>
      <c r="B31" s="27"/>
      <c r="C31" s="27"/>
      <c r="D31" s="27" t="s">
        <v>82</v>
      </c>
      <c r="E31" s="42"/>
      <c r="F31" s="42">
        <v>8</v>
      </c>
      <c r="G31" s="42">
        <f t="shared" ref="G31:G40" si="2">G30+E31-F31</f>
        <v>170</v>
      </c>
      <c r="H31" s="27"/>
    </row>
    <row r="32" spans="1:8" x14ac:dyDescent="0.25">
      <c r="A32" s="39">
        <v>45860</v>
      </c>
      <c r="B32" s="27"/>
      <c r="C32" s="27"/>
      <c r="D32" s="27" t="s">
        <v>73</v>
      </c>
      <c r="E32" s="42"/>
      <c r="F32" s="42">
        <v>2</v>
      </c>
      <c r="G32" s="42">
        <f t="shared" si="2"/>
        <v>168</v>
      </c>
      <c r="H32" s="27"/>
    </row>
    <row r="33" spans="1:8" x14ac:dyDescent="0.25">
      <c r="A33" s="39">
        <v>45861</v>
      </c>
      <c r="B33" s="27"/>
      <c r="C33" s="27"/>
      <c r="D33" s="27" t="s">
        <v>144</v>
      </c>
      <c r="E33" s="42"/>
      <c r="F33" s="42">
        <v>1.5</v>
      </c>
      <c r="G33" s="42">
        <f t="shared" si="2"/>
        <v>166.5</v>
      </c>
      <c r="H33" s="27"/>
    </row>
    <row r="34" spans="1:8" x14ac:dyDescent="0.25">
      <c r="A34" s="39">
        <v>45862</v>
      </c>
      <c r="B34" s="27"/>
      <c r="C34" s="27"/>
      <c r="D34" s="27" t="s">
        <v>42</v>
      </c>
      <c r="E34" s="42"/>
      <c r="F34" s="42">
        <v>50</v>
      </c>
      <c r="G34" s="42">
        <f t="shared" si="2"/>
        <v>116.5</v>
      </c>
      <c r="H34" s="27"/>
    </row>
    <row r="35" spans="1:8" x14ac:dyDescent="0.25">
      <c r="A35" s="39">
        <v>45869</v>
      </c>
      <c r="B35" s="27"/>
      <c r="C35" s="27"/>
      <c r="D35" s="27" t="s">
        <v>145</v>
      </c>
      <c r="E35" s="42"/>
      <c r="F35" s="42">
        <v>27</v>
      </c>
      <c r="G35" s="42">
        <f t="shared" si="2"/>
        <v>89.5</v>
      </c>
      <c r="H35" s="27"/>
    </row>
    <row r="36" spans="1:8" x14ac:dyDescent="0.25">
      <c r="A36" s="39">
        <v>45870</v>
      </c>
      <c r="B36" s="27">
        <v>173822</v>
      </c>
      <c r="C36" s="27">
        <v>6416</v>
      </c>
      <c r="D36" s="27" t="s">
        <v>146</v>
      </c>
      <c r="E36" s="42"/>
      <c r="F36" s="42">
        <v>4</v>
      </c>
      <c r="G36" s="42">
        <f t="shared" si="2"/>
        <v>85.5</v>
      </c>
      <c r="H36" s="27"/>
    </row>
    <row r="37" spans="1:8" x14ac:dyDescent="0.25">
      <c r="A37" s="39">
        <v>45872</v>
      </c>
      <c r="B37" s="27"/>
      <c r="C37" s="27"/>
      <c r="D37" s="27" t="s">
        <v>72</v>
      </c>
      <c r="E37" s="42"/>
      <c r="F37" s="42">
        <v>8</v>
      </c>
      <c r="G37" s="42">
        <f t="shared" si="2"/>
        <v>77.5</v>
      </c>
      <c r="H37" s="27"/>
    </row>
    <row r="38" spans="1:8" x14ac:dyDescent="0.25">
      <c r="A38" s="39">
        <v>45881</v>
      </c>
      <c r="B38" s="27"/>
      <c r="C38" s="27"/>
      <c r="D38" s="27" t="s">
        <v>76</v>
      </c>
      <c r="E38" s="42"/>
      <c r="F38" s="42">
        <v>10</v>
      </c>
      <c r="G38" s="42">
        <f t="shared" si="2"/>
        <v>67.5</v>
      </c>
      <c r="H38" s="27"/>
    </row>
    <row r="39" spans="1:8" x14ac:dyDescent="0.25">
      <c r="A39" s="39">
        <v>45883</v>
      </c>
      <c r="B39" s="27"/>
      <c r="C39" s="27"/>
      <c r="D39" s="27" t="s">
        <v>122</v>
      </c>
      <c r="E39" s="42"/>
      <c r="F39" s="42">
        <v>20</v>
      </c>
      <c r="G39" s="42">
        <f t="shared" si="2"/>
        <v>47.5</v>
      </c>
      <c r="H39" s="27"/>
    </row>
    <row r="40" spans="1:8" x14ac:dyDescent="0.25">
      <c r="A40" s="40">
        <v>45883</v>
      </c>
      <c r="B40" s="29"/>
      <c r="C40" s="29"/>
      <c r="D40" s="29" t="s">
        <v>129</v>
      </c>
      <c r="E40" s="43">
        <v>210</v>
      </c>
      <c r="F40" s="43"/>
      <c r="G40" s="43">
        <f t="shared" si="2"/>
        <v>257.5</v>
      </c>
      <c r="H40" s="29"/>
    </row>
    <row r="41" spans="1:8" x14ac:dyDescent="0.25">
      <c r="A41" s="39">
        <v>45885</v>
      </c>
      <c r="B41" s="27"/>
      <c r="C41" s="27"/>
      <c r="D41" s="27" t="s">
        <v>122</v>
      </c>
      <c r="E41" s="42"/>
      <c r="F41" s="42">
        <v>3</v>
      </c>
      <c r="G41" s="42">
        <f t="shared" ref="G41:G62" si="3">G40+E41-F41</f>
        <v>254.5</v>
      </c>
      <c r="H41" s="27"/>
    </row>
    <row r="42" spans="1:8" x14ac:dyDescent="0.25">
      <c r="A42" s="39">
        <v>45885</v>
      </c>
      <c r="B42" s="27"/>
      <c r="C42" s="27"/>
      <c r="D42" s="27" t="s">
        <v>122</v>
      </c>
      <c r="E42" s="42"/>
      <c r="F42" s="42">
        <v>3</v>
      </c>
      <c r="G42" s="42">
        <f t="shared" si="3"/>
        <v>251.5</v>
      </c>
      <c r="H42" s="27"/>
    </row>
    <row r="43" spans="1:8" x14ac:dyDescent="0.25">
      <c r="A43" s="39">
        <v>45887</v>
      </c>
      <c r="B43" s="27"/>
      <c r="C43" s="27"/>
      <c r="D43" s="27" t="s">
        <v>147</v>
      </c>
      <c r="E43" s="42"/>
      <c r="F43" s="42">
        <v>10</v>
      </c>
      <c r="G43" s="42">
        <f t="shared" si="3"/>
        <v>241.5</v>
      </c>
      <c r="H43" s="27"/>
    </row>
    <row r="44" spans="1:8" x14ac:dyDescent="0.25">
      <c r="A44" s="39">
        <v>45888</v>
      </c>
      <c r="B44" s="27"/>
      <c r="C44" s="27"/>
      <c r="D44" s="27" t="s">
        <v>147</v>
      </c>
      <c r="E44" s="42"/>
      <c r="F44" s="42">
        <v>12</v>
      </c>
      <c r="G44" s="42">
        <f t="shared" si="3"/>
        <v>229.5</v>
      </c>
      <c r="H44" s="27"/>
    </row>
    <row r="45" spans="1:8" x14ac:dyDescent="0.25">
      <c r="A45" s="39">
        <v>45888</v>
      </c>
      <c r="B45" s="27"/>
      <c r="C45" s="27"/>
      <c r="D45" s="27" t="s">
        <v>134</v>
      </c>
      <c r="E45" s="42"/>
      <c r="F45" s="42">
        <v>10</v>
      </c>
      <c r="G45" s="42">
        <f t="shared" si="3"/>
        <v>219.5</v>
      </c>
      <c r="H45" s="27"/>
    </row>
    <row r="46" spans="1:8" x14ac:dyDescent="0.25">
      <c r="A46" s="39">
        <v>45891</v>
      </c>
      <c r="B46" s="27"/>
      <c r="C46" s="27"/>
      <c r="D46" s="27" t="s">
        <v>73</v>
      </c>
      <c r="E46" s="42"/>
      <c r="F46" s="42">
        <v>3</v>
      </c>
      <c r="G46" s="42">
        <f t="shared" si="3"/>
        <v>216.5</v>
      </c>
      <c r="H46" s="27"/>
    </row>
    <row r="47" spans="1:8" x14ac:dyDescent="0.25">
      <c r="A47" s="39">
        <v>45893</v>
      </c>
      <c r="B47" s="27"/>
      <c r="C47" s="27"/>
      <c r="D47" s="27" t="s">
        <v>85</v>
      </c>
      <c r="E47" s="42"/>
      <c r="F47" s="42">
        <v>13</v>
      </c>
      <c r="G47" s="42">
        <f t="shared" si="3"/>
        <v>203.5</v>
      </c>
      <c r="H47" s="27"/>
    </row>
    <row r="48" spans="1:8" x14ac:dyDescent="0.25">
      <c r="A48" s="39">
        <v>45897</v>
      </c>
      <c r="B48" s="27">
        <v>113943</v>
      </c>
      <c r="C48" s="27">
        <v>66442</v>
      </c>
      <c r="D48" s="27" t="s">
        <v>148</v>
      </c>
      <c r="E48" s="42"/>
      <c r="F48" s="42">
        <v>20</v>
      </c>
      <c r="G48" s="42">
        <f t="shared" si="3"/>
        <v>183.5</v>
      </c>
      <c r="H48" s="27"/>
    </row>
    <row r="49" spans="1:8" x14ac:dyDescent="0.25">
      <c r="A49" s="39">
        <v>45899</v>
      </c>
      <c r="B49" s="27"/>
      <c r="C49" s="27"/>
      <c r="D49" s="27" t="s">
        <v>149</v>
      </c>
      <c r="E49" s="42"/>
      <c r="F49" s="42">
        <v>5</v>
      </c>
      <c r="G49" s="42">
        <f t="shared" si="3"/>
        <v>178.5</v>
      </c>
      <c r="H49" s="27"/>
    </row>
    <row r="50" spans="1:8" x14ac:dyDescent="0.25">
      <c r="A50" s="39">
        <v>45901</v>
      </c>
      <c r="B50" s="27"/>
      <c r="C50" s="27"/>
      <c r="D50" s="27" t="s">
        <v>42</v>
      </c>
      <c r="E50" s="42"/>
      <c r="F50" s="42">
        <v>50</v>
      </c>
      <c r="G50" s="42">
        <f t="shared" si="3"/>
        <v>128.5</v>
      </c>
      <c r="H50" s="27"/>
    </row>
    <row r="51" spans="1:8" x14ac:dyDescent="0.25">
      <c r="A51" s="39">
        <v>45906</v>
      </c>
      <c r="B51" s="27"/>
      <c r="C51" s="27"/>
      <c r="D51" s="27" t="s">
        <v>90</v>
      </c>
      <c r="E51" s="42"/>
      <c r="F51" s="42">
        <v>1</v>
      </c>
      <c r="G51" s="42">
        <f t="shared" si="3"/>
        <v>127.5</v>
      </c>
      <c r="H51" s="27"/>
    </row>
    <row r="52" spans="1:8" x14ac:dyDescent="0.25">
      <c r="A52" s="39">
        <v>45909</v>
      </c>
      <c r="B52" s="27"/>
      <c r="C52" s="27"/>
      <c r="D52" s="27" t="s">
        <v>90</v>
      </c>
      <c r="E52" s="42"/>
      <c r="F52" s="42">
        <v>1</v>
      </c>
      <c r="G52" s="42">
        <f t="shared" si="3"/>
        <v>126.5</v>
      </c>
      <c r="H52" s="27"/>
    </row>
    <row r="53" spans="1:8" x14ac:dyDescent="0.25">
      <c r="A53" s="39">
        <v>45913</v>
      </c>
      <c r="B53" s="27"/>
      <c r="C53" s="27"/>
      <c r="D53" s="27" t="s">
        <v>107</v>
      </c>
      <c r="E53" s="42"/>
      <c r="F53" s="42">
        <v>3</v>
      </c>
      <c r="G53" s="42">
        <f t="shared" si="3"/>
        <v>123.5</v>
      </c>
      <c r="H53" s="27"/>
    </row>
    <row r="54" spans="1:8" x14ac:dyDescent="0.25">
      <c r="A54" s="39">
        <v>45918</v>
      </c>
      <c r="B54" s="27"/>
      <c r="C54" s="27"/>
      <c r="D54" s="27" t="s">
        <v>177</v>
      </c>
      <c r="E54" s="42"/>
      <c r="F54" s="42">
        <v>7</v>
      </c>
      <c r="G54" s="42">
        <f t="shared" si="3"/>
        <v>116.5</v>
      </c>
      <c r="H54" s="27"/>
    </row>
    <row r="55" spans="1:8" x14ac:dyDescent="0.25">
      <c r="A55" s="39">
        <v>45919</v>
      </c>
      <c r="B55" s="27"/>
      <c r="C55" s="27">
        <v>66490</v>
      </c>
      <c r="D55" s="27" t="s">
        <v>89</v>
      </c>
      <c r="E55" s="42"/>
      <c r="F55" s="42">
        <v>20</v>
      </c>
      <c r="G55" s="42">
        <f t="shared" si="3"/>
        <v>96.5</v>
      </c>
      <c r="H55" s="27"/>
    </row>
    <row r="56" spans="1:8" x14ac:dyDescent="0.25">
      <c r="A56" s="40">
        <v>45923</v>
      </c>
      <c r="B56" s="29"/>
      <c r="C56" s="29"/>
      <c r="D56" s="29" t="s">
        <v>179</v>
      </c>
      <c r="E56" s="43">
        <v>20</v>
      </c>
      <c r="F56" s="43"/>
      <c r="G56" s="43">
        <f t="shared" si="3"/>
        <v>116.5</v>
      </c>
      <c r="H56" s="29"/>
    </row>
    <row r="57" spans="1:8" x14ac:dyDescent="0.25">
      <c r="A57" s="39">
        <v>45931</v>
      </c>
      <c r="B57" s="27"/>
      <c r="C57" s="27"/>
      <c r="D57" s="27" t="s">
        <v>87</v>
      </c>
      <c r="E57" s="42"/>
      <c r="F57" s="42">
        <v>4</v>
      </c>
      <c r="G57" s="42">
        <f t="shared" si="3"/>
        <v>112.5</v>
      </c>
      <c r="H57" s="27"/>
    </row>
    <row r="58" spans="1:8" x14ac:dyDescent="0.25">
      <c r="A58" s="39">
        <v>45932</v>
      </c>
      <c r="B58" s="27"/>
      <c r="C58" s="27"/>
      <c r="D58" s="27" t="s">
        <v>90</v>
      </c>
      <c r="E58" s="42"/>
      <c r="F58" s="42">
        <v>6</v>
      </c>
      <c r="G58" s="42">
        <f t="shared" si="3"/>
        <v>106.5</v>
      </c>
      <c r="H58" s="27"/>
    </row>
    <row r="59" spans="1:8" x14ac:dyDescent="0.25">
      <c r="A59" s="39">
        <v>45937</v>
      </c>
      <c r="B59" s="27"/>
      <c r="C59" s="27"/>
      <c r="D59" s="27" t="s">
        <v>199</v>
      </c>
      <c r="E59" s="42"/>
      <c r="F59" s="42">
        <v>4</v>
      </c>
      <c r="G59" s="42">
        <f t="shared" si="3"/>
        <v>102.5</v>
      </c>
      <c r="H59" s="27"/>
    </row>
    <row r="60" spans="1:8" x14ac:dyDescent="0.25">
      <c r="A60" s="39">
        <v>45941</v>
      </c>
      <c r="B60" s="27"/>
      <c r="C60" s="27"/>
      <c r="D60" s="27" t="s">
        <v>90</v>
      </c>
      <c r="E60" s="42"/>
      <c r="F60" s="42">
        <v>4</v>
      </c>
      <c r="G60" s="42">
        <f t="shared" si="3"/>
        <v>98.5</v>
      </c>
      <c r="H60" s="27"/>
    </row>
    <row r="61" spans="1:8" x14ac:dyDescent="0.25">
      <c r="A61" s="39">
        <v>45941</v>
      </c>
      <c r="B61" s="27">
        <v>124529</v>
      </c>
      <c r="C61" s="27">
        <v>72136</v>
      </c>
      <c r="D61" s="27" t="s">
        <v>148</v>
      </c>
      <c r="E61" s="42"/>
      <c r="F61" s="42">
        <v>8</v>
      </c>
      <c r="G61" s="42">
        <f t="shared" si="3"/>
        <v>90.5</v>
      </c>
      <c r="H61" s="27"/>
    </row>
    <row r="62" spans="1:8" x14ac:dyDescent="0.25">
      <c r="A62" s="39">
        <v>45948</v>
      </c>
      <c r="B62" s="27">
        <v>2128</v>
      </c>
      <c r="C62" s="27">
        <v>71306</v>
      </c>
      <c r="D62" s="27" t="s">
        <v>42</v>
      </c>
      <c r="E62" s="42"/>
      <c r="F62" s="42">
        <v>50</v>
      </c>
      <c r="G62" s="42">
        <f t="shared" si="3"/>
        <v>40.5</v>
      </c>
      <c r="H62" s="27"/>
    </row>
    <row r="63" spans="1:8" x14ac:dyDescent="0.25">
      <c r="A63" s="39">
        <v>45952</v>
      </c>
      <c r="B63" s="27"/>
      <c r="C63" s="27"/>
      <c r="D63" s="27" t="s">
        <v>73</v>
      </c>
      <c r="E63" s="42"/>
      <c r="F63" s="42">
        <v>3</v>
      </c>
      <c r="G63" s="42">
        <f t="shared" ref="G63:G71" si="4">G62+E63-F63</f>
        <v>37.5</v>
      </c>
      <c r="H63" s="27"/>
    </row>
    <row r="64" spans="1:8" x14ac:dyDescent="0.25">
      <c r="A64" s="39">
        <v>45953</v>
      </c>
      <c r="B64" s="27"/>
      <c r="C64" s="27"/>
      <c r="D64" s="27" t="s">
        <v>55</v>
      </c>
      <c r="E64" s="42"/>
      <c r="F64" s="42">
        <v>4</v>
      </c>
      <c r="G64" s="42">
        <f t="shared" si="4"/>
        <v>33.5</v>
      </c>
      <c r="H64" s="27"/>
    </row>
    <row r="65" spans="1:8" x14ac:dyDescent="0.25">
      <c r="A65" s="39">
        <v>45961</v>
      </c>
      <c r="B65" s="27"/>
      <c r="C65" s="27"/>
      <c r="D65" s="27" t="s">
        <v>212</v>
      </c>
      <c r="E65" s="42"/>
      <c r="F65" s="42">
        <v>10</v>
      </c>
      <c r="G65" s="42">
        <f t="shared" si="4"/>
        <v>23.5</v>
      </c>
      <c r="H65" s="27"/>
    </row>
    <row r="66" spans="1:8" x14ac:dyDescent="0.25">
      <c r="A66" s="40">
        <v>45961</v>
      </c>
      <c r="B66" s="29"/>
      <c r="C66" s="29"/>
      <c r="D66" s="29" t="s">
        <v>103</v>
      </c>
      <c r="E66" s="43">
        <v>9.5</v>
      </c>
      <c r="F66" s="43"/>
      <c r="G66" s="43">
        <f t="shared" si="4"/>
        <v>33</v>
      </c>
      <c r="H66" s="29"/>
    </row>
    <row r="67" spans="1:8" x14ac:dyDescent="0.25">
      <c r="A67" s="39">
        <v>45964</v>
      </c>
      <c r="B67" s="27"/>
      <c r="C67" s="27"/>
      <c r="D67" s="27" t="s">
        <v>213</v>
      </c>
      <c r="E67" s="42"/>
      <c r="F67" s="42">
        <v>3</v>
      </c>
      <c r="G67" s="42">
        <f t="shared" si="4"/>
        <v>30</v>
      </c>
      <c r="H67" s="27"/>
    </row>
    <row r="68" spans="1:8" x14ac:dyDescent="0.25">
      <c r="A68" s="39">
        <v>45966</v>
      </c>
      <c r="B68" s="27"/>
      <c r="C68" s="27"/>
      <c r="D68" s="27" t="s">
        <v>134</v>
      </c>
      <c r="E68" s="42"/>
      <c r="F68" s="42">
        <v>5</v>
      </c>
      <c r="G68" s="42">
        <f t="shared" si="4"/>
        <v>25</v>
      </c>
      <c r="H68" s="27"/>
    </row>
    <row r="69" spans="1:8" x14ac:dyDescent="0.25">
      <c r="A69" s="39">
        <v>45967</v>
      </c>
      <c r="B69" s="27">
        <v>2175</v>
      </c>
      <c r="C69" s="27"/>
      <c r="D69" s="27" t="s">
        <v>42</v>
      </c>
      <c r="E69" s="42"/>
      <c r="F69" s="42">
        <v>25</v>
      </c>
      <c r="G69" s="42">
        <f t="shared" si="4"/>
        <v>0</v>
      </c>
      <c r="H69" s="27"/>
    </row>
    <row r="70" spans="1:8" x14ac:dyDescent="0.25">
      <c r="A70" s="40">
        <v>45967</v>
      </c>
      <c r="B70" s="29"/>
      <c r="C70" s="29"/>
      <c r="D70" s="29" t="s">
        <v>103</v>
      </c>
      <c r="E70" s="43">
        <v>11</v>
      </c>
      <c r="F70" s="43"/>
      <c r="G70" s="43">
        <f t="shared" si="4"/>
        <v>11</v>
      </c>
      <c r="H70" s="29"/>
    </row>
    <row r="71" spans="1:8" x14ac:dyDescent="0.25">
      <c r="A71" s="39">
        <v>45974</v>
      </c>
      <c r="B71" s="27"/>
      <c r="C71" s="27"/>
      <c r="D71" s="27" t="s">
        <v>244</v>
      </c>
      <c r="E71" s="42"/>
      <c r="F71" s="42">
        <v>1</v>
      </c>
      <c r="G71" s="42">
        <f t="shared" si="4"/>
        <v>10</v>
      </c>
      <c r="H71" s="27"/>
    </row>
    <row r="72" spans="1:8" x14ac:dyDescent="0.25">
      <c r="A72" s="39">
        <v>45976</v>
      </c>
      <c r="B72" s="27"/>
      <c r="C72" s="27"/>
      <c r="D72" s="27" t="s">
        <v>199</v>
      </c>
      <c r="E72" s="42"/>
      <c r="F72" s="42">
        <v>4</v>
      </c>
      <c r="G72" s="42">
        <f t="shared" ref="G72:G82" si="5">G71+E72-F72</f>
        <v>6</v>
      </c>
      <c r="H72" s="27"/>
    </row>
    <row r="73" spans="1:8" x14ac:dyDescent="0.25">
      <c r="A73" s="39">
        <v>45976</v>
      </c>
      <c r="B73" s="27"/>
      <c r="C73" s="27"/>
      <c r="D73" s="27" t="s">
        <v>166</v>
      </c>
      <c r="E73" s="42"/>
      <c r="F73" s="42">
        <v>6</v>
      </c>
      <c r="G73" s="42">
        <f t="shared" si="5"/>
        <v>0</v>
      </c>
      <c r="H73" s="27"/>
    </row>
    <row r="74" spans="1:8" x14ac:dyDescent="0.25">
      <c r="A74" s="40">
        <v>45980</v>
      </c>
      <c r="B74" s="29">
        <v>110793</v>
      </c>
      <c r="C74" s="29"/>
      <c r="D74" s="29" t="s">
        <v>129</v>
      </c>
      <c r="E74" s="43">
        <v>210</v>
      </c>
      <c r="F74" s="43"/>
      <c r="G74" s="43">
        <f t="shared" si="5"/>
        <v>210</v>
      </c>
      <c r="H74" s="29"/>
    </row>
    <row r="75" spans="1:8" x14ac:dyDescent="0.25">
      <c r="A75" s="39">
        <v>45980</v>
      </c>
      <c r="B75" s="27"/>
      <c r="C75" s="27"/>
      <c r="D75" s="27" t="s">
        <v>42</v>
      </c>
      <c r="E75" s="42"/>
      <c r="F75" s="42">
        <v>50</v>
      </c>
      <c r="G75" s="42">
        <f t="shared" si="5"/>
        <v>160</v>
      </c>
      <c r="H75" s="27"/>
    </row>
    <row r="76" spans="1:8" x14ac:dyDescent="0.25">
      <c r="A76" s="39">
        <v>45981</v>
      </c>
      <c r="B76" s="27"/>
      <c r="C76" s="27"/>
      <c r="D76" s="27" t="s">
        <v>239</v>
      </c>
      <c r="E76" s="42"/>
      <c r="F76" s="42">
        <v>1</v>
      </c>
      <c r="G76" s="42">
        <f t="shared" si="5"/>
        <v>159</v>
      </c>
      <c r="H76" s="27"/>
    </row>
    <row r="77" spans="1:8" x14ac:dyDescent="0.25">
      <c r="A77" s="39">
        <v>45982</v>
      </c>
      <c r="B77" s="27"/>
      <c r="C77" s="27"/>
      <c r="D77" s="27" t="s">
        <v>239</v>
      </c>
      <c r="E77" s="42"/>
      <c r="F77" s="42">
        <v>12</v>
      </c>
      <c r="G77" s="42">
        <f t="shared" si="5"/>
        <v>147</v>
      </c>
      <c r="H77" s="27"/>
    </row>
    <row r="78" spans="1:8" x14ac:dyDescent="0.25">
      <c r="A78" s="39">
        <v>45999</v>
      </c>
      <c r="B78" s="27"/>
      <c r="C78" s="27"/>
      <c r="D78" s="27" t="s">
        <v>259</v>
      </c>
      <c r="E78" s="42"/>
      <c r="F78" s="42">
        <v>6</v>
      </c>
      <c r="G78" s="42">
        <f t="shared" si="5"/>
        <v>141</v>
      </c>
      <c r="H78" s="27"/>
    </row>
    <row r="79" spans="1:8" x14ac:dyDescent="0.25">
      <c r="A79" s="39">
        <v>46000</v>
      </c>
      <c r="B79" s="27"/>
      <c r="C79" s="27"/>
      <c r="D79" s="27" t="s">
        <v>42</v>
      </c>
      <c r="E79" s="42"/>
      <c r="F79" s="42">
        <v>10</v>
      </c>
      <c r="G79" s="42">
        <f t="shared" si="5"/>
        <v>131</v>
      </c>
      <c r="H79" s="27"/>
    </row>
    <row r="80" spans="1:8" x14ac:dyDescent="0.25">
      <c r="A80" s="39">
        <v>46001</v>
      </c>
      <c r="B80" s="27"/>
      <c r="C80" s="27"/>
      <c r="D80" s="27" t="s">
        <v>250</v>
      </c>
      <c r="E80" s="42"/>
      <c r="F80" s="42">
        <v>10</v>
      </c>
      <c r="G80" s="42">
        <f t="shared" si="5"/>
        <v>121</v>
      </c>
      <c r="H80" s="27"/>
    </row>
    <row r="81" spans="1:8" x14ac:dyDescent="0.25">
      <c r="A81" s="39">
        <v>46001</v>
      </c>
      <c r="B81" s="27"/>
      <c r="C81" s="27"/>
      <c r="D81" s="27" t="s">
        <v>251</v>
      </c>
      <c r="E81" s="42"/>
      <c r="F81" s="42">
        <v>35</v>
      </c>
      <c r="G81" s="42">
        <f t="shared" si="5"/>
        <v>86</v>
      </c>
      <c r="H81" s="27"/>
    </row>
    <row r="82" spans="1:8" x14ac:dyDescent="0.25">
      <c r="A82" s="39">
        <v>46001</v>
      </c>
      <c r="B82" s="27">
        <v>205956</v>
      </c>
      <c r="C82" s="27">
        <v>71969</v>
      </c>
      <c r="D82" s="27" t="s">
        <v>260</v>
      </c>
      <c r="E82" s="42"/>
      <c r="F82" s="42">
        <v>40</v>
      </c>
      <c r="G82" s="42">
        <f t="shared" si="5"/>
        <v>46</v>
      </c>
      <c r="H82" s="27" t="s">
        <v>261</v>
      </c>
    </row>
    <row r="83" spans="1:8" x14ac:dyDescent="0.25">
      <c r="A83" s="39">
        <v>46003</v>
      </c>
      <c r="B83" s="27"/>
      <c r="C83" s="27"/>
      <c r="D83" s="27" t="s">
        <v>81</v>
      </c>
      <c r="E83" s="42"/>
      <c r="F83" s="42">
        <v>3</v>
      </c>
      <c r="G83" s="42">
        <f t="shared" ref="G83:G98" si="6">G82+E83-F83</f>
        <v>43</v>
      </c>
      <c r="H83" s="27"/>
    </row>
    <row r="84" spans="1:8" x14ac:dyDescent="0.25">
      <c r="A84" s="40">
        <v>46004</v>
      </c>
      <c r="B84" s="29"/>
      <c r="C84" s="29">
        <v>5498</v>
      </c>
      <c r="D84" s="29" t="s">
        <v>262</v>
      </c>
      <c r="E84" s="43">
        <v>20</v>
      </c>
      <c r="F84" s="43"/>
      <c r="G84" s="43">
        <f t="shared" si="6"/>
        <v>63</v>
      </c>
      <c r="H84" s="29"/>
    </row>
    <row r="85" spans="1:8" x14ac:dyDescent="0.25">
      <c r="A85" s="39">
        <v>46004</v>
      </c>
      <c r="B85" s="27"/>
      <c r="C85" s="27"/>
      <c r="D85" s="27" t="s">
        <v>213</v>
      </c>
      <c r="E85" s="42"/>
      <c r="F85" s="42">
        <v>5</v>
      </c>
      <c r="G85" s="42">
        <f t="shared" si="6"/>
        <v>58</v>
      </c>
      <c r="H85" s="27"/>
    </row>
    <row r="86" spans="1:8" x14ac:dyDescent="0.25">
      <c r="A86" s="39">
        <v>46005</v>
      </c>
      <c r="B86" s="27"/>
      <c r="C86" s="27"/>
      <c r="D86" s="27" t="s">
        <v>241</v>
      </c>
      <c r="E86" s="42"/>
      <c r="F86" s="42">
        <v>2.5</v>
      </c>
      <c r="G86" s="42">
        <f t="shared" si="6"/>
        <v>55.5</v>
      </c>
      <c r="H86" s="27"/>
    </row>
    <row r="87" spans="1:8" x14ac:dyDescent="0.25">
      <c r="A87" s="39">
        <v>46006</v>
      </c>
      <c r="B87" s="27"/>
      <c r="C87" s="27"/>
      <c r="D87" s="27" t="s">
        <v>241</v>
      </c>
      <c r="E87" s="42"/>
      <c r="F87" s="42">
        <v>1.5</v>
      </c>
      <c r="G87" s="42">
        <f t="shared" si="6"/>
        <v>54</v>
      </c>
      <c r="H87" s="27"/>
    </row>
    <row r="88" spans="1:8" x14ac:dyDescent="0.25">
      <c r="A88" s="39">
        <v>46006</v>
      </c>
      <c r="B88" s="27"/>
      <c r="C88" s="27"/>
      <c r="D88" s="27" t="s">
        <v>24</v>
      </c>
      <c r="E88" s="42"/>
      <c r="F88" s="42">
        <v>19</v>
      </c>
      <c r="G88" s="42">
        <f t="shared" si="6"/>
        <v>35</v>
      </c>
      <c r="H88" s="27"/>
    </row>
    <row r="89" spans="1:8" x14ac:dyDescent="0.25">
      <c r="A89" s="39">
        <v>46008</v>
      </c>
      <c r="B89" s="27"/>
      <c r="C89" s="27"/>
      <c r="D89" s="27" t="s">
        <v>242</v>
      </c>
      <c r="E89" s="42"/>
      <c r="F89" s="42">
        <v>15</v>
      </c>
      <c r="G89" s="42">
        <f t="shared" si="6"/>
        <v>20</v>
      </c>
      <c r="H89" s="27"/>
    </row>
    <row r="90" spans="1:8" x14ac:dyDescent="0.25">
      <c r="A90" s="39">
        <v>46009</v>
      </c>
      <c r="B90" s="27"/>
      <c r="C90" s="27"/>
      <c r="D90" s="38" t="s">
        <v>134</v>
      </c>
      <c r="E90" s="42"/>
      <c r="F90" s="42">
        <v>20</v>
      </c>
      <c r="G90" s="42">
        <f t="shared" si="6"/>
        <v>0</v>
      </c>
      <c r="H90" s="27"/>
    </row>
    <row r="91" spans="1:8" x14ac:dyDescent="0.25">
      <c r="A91" s="40">
        <v>46030</v>
      </c>
      <c r="B91" s="29">
        <v>142457</v>
      </c>
      <c r="C91" s="29"/>
      <c r="D91" s="29" t="s">
        <v>129</v>
      </c>
      <c r="E91" s="43">
        <v>210</v>
      </c>
      <c r="F91" s="43"/>
      <c r="G91" s="43">
        <f t="shared" si="6"/>
        <v>210</v>
      </c>
      <c r="H91" s="29"/>
    </row>
    <row r="92" spans="1:8" x14ac:dyDescent="0.25">
      <c r="A92" s="83">
        <v>46032</v>
      </c>
      <c r="B92" s="84">
        <v>2306</v>
      </c>
      <c r="C92" s="84">
        <v>64996</v>
      </c>
      <c r="D92" s="84" t="s">
        <v>321</v>
      </c>
      <c r="E92" s="91"/>
      <c r="F92" s="91">
        <v>50</v>
      </c>
      <c r="G92" s="92">
        <f t="shared" si="6"/>
        <v>160</v>
      </c>
      <c r="H92" s="84"/>
    </row>
    <row r="93" spans="1:8" x14ac:dyDescent="0.25">
      <c r="A93" s="83">
        <v>46033</v>
      </c>
      <c r="B93" s="84"/>
      <c r="C93" s="84"/>
      <c r="D93" s="84" t="s">
        <v>162</v>
      </c>
      <c r="E93" s="91"/>
      <c r="F93" s="91">
        <v>1</v>
      </c>
      <c r="G93" s="92">
        <f t="shared" si="6"/>
        <v>159</v>
      </c>
      <c r="H93" s="84"/>
    </row>
    <row r="94" spans="1:8" x14ac:dyDescent="0.25">
      <c r="A94" s="83">
        <v>46036</v>
      </c>
      <c r="B94" s="84"/>
      <c r="C94" s="84"/>
      <c r="D94" s="84" t="s">
        <v>312</v>
      </c>
      <c r="E94" s="91"/>
      <c r="F94" s="91">
        <v>12</v>
      </c>
      <c r="G94" s="92">
        <f t="shared" si="6"/>
        <v>147</v>
      </c>
      <c r="H94" s="84"/>
    </row>
    <row r="95" spans="1:8" x14ac:dyDescent="0.25">
      <c r="A95" s="83">
        <v>46036</v>
      </c>
      <c r="B95" s="84"/>
      <c r="C95" s="84"/>
      <c r="D95" s="84" t="s">
        <v>311</v>
      </c>
      <c r="E95" s="91"/>
      <c r="F95" s="91">
        <v>10</v>
      </c>
      <c r="G95" s="92">
        <f t="shared" si="6"/>
        <v>137</v>
      </c>
      <c r="H95" s="84"/>
    </row>
    <row r="96" spans="1:8" x14ac:dyDescent="0.25">
      <c r="A96" s="83">
        <v>46037</v>
      </c>
      <c r="B96" s="84"/>
      <c r="C96" s="84"/>
      <c r="D96" s="84" t="s">
        <v>14</v>
      </c>
      <c r="E96" s="91"/>
      <c r="F96" s="91">
        <v>3</v>
      </c>
      <c r="G96" s="92">
        <f t="shared" si="6"/>
        <v>134</v>
      </c>
      <c r="H96" s="84"/>
    </row>
    <row r="97" spans="1:8" x14ac:dyDescent="0.25">
      <c r="A97" s="83">
        <v>46039</v>
      </c>
      <c r="B97" s="84"/>
      <c r="C97" s="84"/>
      <c r="D97" s="84" t="s">
        <v>36</v>
      </c>
      <c r="E97" s="91"/>
      <c r="F97" s="91">
        <v>1</v>
      </c>
      <c r="G97" s="92">
        <f t="shared" si="6"/>
        <v>133</v>
      </c>
      <c r="H97" s="84"/>
    </row>
    <row r="98" spans="1:8" x14ac:dyDescent="0.25">
      <c r="A98" s="83">
        <v>46040</v>
      </c>
      <c r="B98" s="84"/>
      <c r="C98" s="84"/>
      <c r="D98" s="38" t="s">
        <v>134</v>
      </c>
      <c r="E98" s="91"/>
      <c r="F98" s="91">
        <v>10</v>
      </c>
      <c r="G98" s="92">
        <f t="shared" si="6"/>
        <v>123</v>
      </c>
      <c r="H98" s="84"/>
    </row>
    <row r="99" spans="1:8" x14ac:dyDescent="0.25">
      <c r="A99" s="83">
        <v>46042</v>
      </c>
      <c r="B99" s="84"/>
      <c r="C99" s="84"/>
      <c r="D99" s="84" t="s">
        <v>116</v>
      </c>
      <c r="E99" s="91"/>
      <c r="F99" s="91">
        <v>5</v>
      </c>
      <c r="G99" s="92">
        <f t="shared" ref="G99:G107" si="7">G98+E99-F99</f>
        <v>118</v>
      </c>
      <c r="H99" s="84"/>
    </row>
    <row r="100" spans="1:8" x14ac:dyDescent="0.25">
      <c r="A100" s="85">
        <v>46043</v>
      </c>
      <c r="B100" s="86"/>
      <c r="C100" s="86"/>
      <c r="D100" s="86" t="s">
        <v>161</v>
      </c>
      <c r="E100" s="93"/>
      <c r="F100" s="93">
        <v>5</v>
      </c>
      <c r="G100" s="94">
        <f t="shared" si="7"/>
        <v>113</v>
      </c>
      <c r="H100" s="86"/>
    </row>
    <row r="101" spans="1:8" x14ac:dyDescent="0.25">
      <c r="A101" s="83">
        <v>46047</v>
      </c>
      <c r="B101" s="84">
        <v>2469</v>
      </c>
      <c r="C101" s="84">
        <v>64367</v>
      </c>
      <c r="D101" s="84" t="s">
        <v>330</v>
      </c>
      <c r="E101" s="91"/>
      <c r="F101" s="91">
        <v>10</v>
      </c>
      <c r="G101" s="92">
        <f t="shared" si="7"/>
        <v>103</v>
      </c>
      <c r="H101" s="84"/>
    </row>
    <row r="102" spans="1:8" x14ac:dyDescent="0.25">
      <c r="A102" s="83">
        <v>46056</v>
      </c>
      <c r="B102" s="84"/>
      <c r="C102" s="84"/>
      <c r="D102" s="84" t="s">
        <v>287</v>
      </c>
      <c r="E102" s="91"/>
      <c r="F102" s="91">
        <v>2</v>
      </c>
      <c r="G102" s="92">
        <f t="shared" si="7"/>
        <v>101</v>
      </c>
      <c r="H102" s="84"/>
    </row>
    <row r="103" spans="1:8" x14ac:dyDescent="0.25">
      <c r="A103" s="83">
        <v>46058</v>
      </c>
      <c r="B103" s="84">
        <v>2551</v>
      </c>
      <c r="C103" s="84">
        <v>64375</v>
      </c>
      <c r="D103" s="84" t="s">
        <v>336</v>
      </c>
      <c r="E103" s="91"/>
      <c r="F103" s="91">
        <v>50</v>
      </c>
      <c r="G103" s="92">
        <f t="shared" si="7"/>
        <v>51</v>
      </c>
      <c r="H103" s="84"/>
    </row>
    <row r="104" spans="1:8" x14ac:dyDescent="0.25">
      <c r="A104" s="83">
        <v>46059</v>
      </c>
      <c r="B104" s="84"/>
      <c r="C104" s="84"/>
      <c r="D104" s="84" t="s">
        <v>338</v>
      </c>
      <c r="E104" s="91"/>
      <c r="F104" s="91">
        <v>10</v>
      </c>
      <c r="G104" s="92">
        <f t="shared" si="7"/>
        <v>41</v>
      </c>
      <c r="H104" s="84"/>
    </row>
    <row r="105" spans="1:8" x14ac:dyDescent="0.25">
      <c r="A105" s="83">
        <v>46064</v>
      </c>
      <c r="B105" s="84"/>
      <c r="C105" s="84"/>
      <c r="D105" s="84" t="s">
        <v>345</v>
      </c>
      <c r="E105" s="91"/>
      <c r="F105" s="91">
        <v>3</v>
      </c>
      <c r="G105" s="92">
        <f t="shared" si="7"/>
        <v>38</v>
      </c>
      <c r="H105" s="84"/>
    </row>
    <row r="106" spans="1:8" x14ac:dyDescent="0.25">
      <c r="A106" s="83">
        <v>46065</v>
      </c>
      <c r="B106" s="84"/>
      <c r="C106" s="84"/>
      <c r="D106" s="84" t="s">
        <v>346</v>
      </c>
      <c r="E106" s="91"/>
      <c r="F106" s="91">
        <v>1</v>
      </c>
      <c r="G106" s="92">
        <f t="shared" si="7"/>
        <v>37</v>
      </c>
      <c r="H106" s="84"/>
    </row>
    <row r="107" spans="1:8" x14ac:dyDescent="0.25">
      <c r="A107" s="83">
        <v>46066</v>
      </c>
      <c r="B107" s="84"/>
      <c r="C107" s="84"/>
      <c r="D107" s="84" t="s">
        <v>315</v>
      </c>
      <c r="E107" s="91"/>
      <c r="F107" s="91">
        <v>20</v>
      </c>
      <c r="G107" s="92">
        <f t="shared" si="7"/>
        <v>17</v>
      </c>
      <c r="H107" s="84"/>
    </row>
    <row r="108" spans="1:8" x14ac:dyDescent="0.25">
      <c r="A108" s="83">
        <v>46076</v>
      </c>
      <c r="B108" s="84"/>
      <c r="C108" s="84"/>
      <c r="D108" s="84" t="s">
        <v>358</v>
      </c>
      <c r="E108" s="91"/>
      <c r="F108" s="91">
        <v>1</v>
      </c>
      <c r="G108" s="92">
        <f t="shared" ref="G108:G115" si="8">G107+E108-F108</f>
        <v>16</v>
      </c>
      <c r="H108" s="84"/>
    </row>
    <row r="109" spans="1:8" x14ac:dyDescent="0.25">
      <c r="A109" s="87">
        <v>46086</v>
      </c>
      <c r="B109" s="88"/>
      <c r="C109" s="88"/>
      <c r="D109" s="88" t="s">
        <v>103</v>
      </c>
      <c r="E109" s="95">
        <v>4</v>
      </c>
      <c r="F109" s="95"/>
      <c r="G109" s="43">
        <f t="shared" si="8"/>
        <v>20</v>
      </c>
      <c r="H109" s="88"/>
    </row>
    <row r="110" spans="1:8" x14ac:dyDescent="0.25">
      <c r="A110" s="83">
        <v>46086</v>
      </c>
      <c r="B110" s="84"/>
      <c r="C110" s="84"/>
      <c r="D110" s="38" t="s">
        <v>134</v>
      </c>
      <c r="E110" s="91"/>
      <c r="F110" s="91">
        <v>20</v>
      </c>
      <c r="G110" s="92">
        <f t="shared" si="8"/>
        <v>0</v>
      </c>
      <c r="H110" s="84"/>
    </row>
    <row r="111" spans="1:8" x14ac:dyDescent="0.25">
      <c r="A111" s="87">
        <v>46092</v>
      </c>
      <c r="B111" s="88"/>
      <c r="C111" s="88"/>
      <c r="D111" s="88" t="s">
        <v>103</v>
      </c>
      <c r="E111" s="95">
        <v>1</v>
      </c>
      <c r="F111" s="95"/>
      <c r="G111" s="43">
        <f t="shared" si="8"/>
        <v>1</v>
      </c>
      <c r="H111" s="88"/>
    </row>
    <row r="112" spans="1:8" x14ac:dyDescent="0.25">
      <c r="A112" s="83">
        <v>46092</v>
      </c>
      <c r="B112" s="84"/>
      <c r="C112" s="84"/>
      <c r="D112" s="84" t="s">
        <v>359</v>
      </c>
      <c r="E112" s="91"/>
      <c r="F112" s="91">
        <v>1</v>
      </c>
      <c r="G112" s="92">
        <f t="shared" si="8"/>
        <v>0</v>
      </c>
      <c r="H112" s="84"/>
    </row>
    <row r="113" spans="1:8" x14ac:dyDescent="0.25">
      <c r="A113" s="87">
        <v>46136</v>
      </c>
      <c r="B113" s="88">
        <v>140849</v>
      </c>
      <c r="C113" s="88"/>
      <c r="D113" s="88" t="s">
        <v>129</v>
      </c>
      <c r="E113" s="95">
        <v>210</v>
      </c>
      <c r="F113" s="95"/>
      <c r="G113" s="43">
        <f t="shared" si="8"/>
        <v>210</v>
      </c>
      <c r="H113" s="88"/>
    </row>
    <row r="114" spans="1:8" x14ac:dyDescent="0.25">
      <c r="A114" s="83">
        <v>46136</v>
      </c>
      <c r="B114" s="84"/>
      <c r="C114" s="84"/>
      <c r="D114" s="84" t="s">
        <v>210</v>
      </c>
      <c r="E114" s="91"/>
      <c r="F114" s="91">
        <v>2</v>
      </c>
      <c r="G114" s="92">
        <f t="shared" si="8"/>
        <v>208</v>
      </c>
      <c r="H114" s="84"/>
    </row>
    <row r="115" spans="1:8" x14ac:dyDescent="0.25">
      <c r="A115" s="83">
        <v>46140</v>
      </c>
      <c r="B115" s="84">
        <v>2992</v>
      </c>
      <c r="C115" s="84">
        <v>64233</v>
      </c>
      <c r="D115" s="84" t="s">
        <v>148</v>
      </c>
      <c r="E115" s="91"/>
      <c r="F115" s="91">
        <v>10</v>
      </c>
      <c r="G115" s="92">
        <f t="shared" si="8"/>
        <v>198</v>
      </c>
      <c r="H115" s="84"/>
    </row>
    <row r="116" spans="1:8" x14ac:dyDescent="0.25">
      <c r="A116" s="83">
        <v>46140</v>
      </c>
      <c r="B116" s="84"/>
      <c r="C116" s="84"/>
      <c r="D116" s="84" t="s">
        <v>72</v>
      </c>
      <c r="E116" s="91"/>
      <c r="F116" s="91">
        <v>6</v>
      </c>
      <c r="G116" s="92">
        <f t="shared" ref="G116:G127" si="9">G115+E116-F116</f>
        <v>192</v>
      </c>
      <c r="H116" s="84"/>
    </row>
    <row r="117" spans="1:8" x14ac:dyDescent="0.25">
      <c r="A117" s="83">
        <v>46146</v>
      </c>
      <c r="B117" s="84"/>
      <c r="C117" s="84"/>
      <c r="D117" s="38" t="s">
        <v>134</v>
      </c>
      <c r="E117" s="91"/>
      <c r="F117" s="91">
        <v>20</v>
      </c>
      <c r="G117" s="92">
        <f t="shared" si="9"/>
        <v>172</v>
      </c>
      <c r="H117" s="84"/>
    </row>
    <row r="118" spans="1:8" x14ac:dyDescent="0.25">
      <c r="A118" s="83">
        <v>46147</v>
      </c>
      <c r="B118" s="84"/>
      <c r="C118" s="84"/>
      <c r="D118" s="84" t="s">
        <v>423</v>
      </c>
      <c r="E118" s="91"/>
      <c r="F118" s="91">
        <v>3</v>
      </c>
      <c r="G118" s="92">
        <f t="shared" si="9"/>
        <v>169</v>
      </c>
      <c r="H118" s="84"/>
    </row>
    <row r="119" spans="1:8" x14ac:dyDescent="0.25">
      <c r="A119" s="83">
        <v>46148</v>
      </c>
      <c r="B119" s="84"/>
      <c r="C119" s="84"/>
      <c r="D119" s="84" t="s">
        <v>72</v>
      </c>
      <c r="E119" s="91"/>
      <c r="F119" s="91">
        <v>7</v>
      </c>
      <c r="G119" s="92">
        <f t="shared" si="9"/>
        <v>162</v>
      </c>
      <c r="H119" s="84"/>
    </row>
    <row r="120" spans="1:8" x14ac:dyDescent="0.25">
      <c r="A120" s="89">
        <v>46148</v>
      </c>
      <c r="B120" s="90"/>
      <c r="C120" s="90"/>
      <c r="D120" s="90" t="s">
        <v>336</v>
      </c>
      <c r="E120" s="96"/>
      <c r="F120" s="96">
        <v>50</v>
      </c>
      <c r="G120" s="92">
        <f t="shared" si="9"/>
        <v>112</v>
      </c>
      <c r="H120" s="90"/>
    </row>
    <row r="121" spans="1:8" x14ac:dyDescent="0.25">
      <c r="A121" s="83">
        <v>46151</v>
      </c>
      <c r="B121" s="84"/>
      <c r="C121" s="84"/>
      <c r="D121" s="84" t="s">
        <v>320</v>
      </c>
      <c r="E121" s="91"/>
      <c r="F121" s="91">
        <v>3</v>
      </c>
      <c r="G121" s="92">
        <f t="shared" si="9"/>
        <v>109</v>
      </c>
      <c r="H121" s="84"/>
    </row>
    <row r="122" spans="1:8" x14ac:dyDescent="0.25">
      <c r="A122" s="83">
        <v>46157</v>
      </c>
      <c r="B122" s="84"/>
      <c r="C122" s="84"/>
      <c r="D122" s="84" t="s">
        <v>490</v>
      </c>
      <c r="E122" s="91"/>
      <c r="F122" s="91">
        <v>4</v>
      </c>
      <c r="G122" s="92">
        <f t="shared" si="9"/>
        <v>105</v>
      </c>
      <c r="H122" s="84"/>
    </row>
    <row r="123" spans="1:8" x14ac:dyDescent="0.25">
      <c r="A123" s="83">
        <v>46163</v>
      </c>
      <c r="B123" s="84"/>
      <c r="C123" s="84"/>
      <c r="D123" s="84" t="s">
        <v>509</v>
      </c>
      <c r="E123" s="91"/>
      <c r="F123" s="91">
        <v>2</v>
      </c>
      <c r="G123" s="92">
        <f t="shared" si="9"/>
        <v>103</v>
      </c>
      <c r="H123" s="84"/>
    </row>
    <row r="124" spans="1:8" x14ac:dyDescent="0.25">
      <c r="A124" s="83">
        <v>46163</v>
      </c>
      <c r="B124" s="84">
        <v>3139</v>
      </c>
      <c r="C124" s="84">
        <v>57901</v>
      </c>
      <c r="D124" s="84" t="s">
        <v>336</v>
      </c>
      <c r="E124" s="91"/>
      <c r="F124" s="91">
        <v>20</v>
      </c>
      <c r="G124" s="92">
        <f t="shared" si="9"/>
        <v>83</v>
      </c>
      <c r="H124" s="84"/>
    </row>
    <row r="125" spans="1:8" x14ac:dyDescent="0.25">
      <c r="A125" s="83">
        <v>46164</v>
      </c>
      <c r="B125" s="84"/>
      <c r="C125" s="84"/>
      <c r="D125" s="84" t="s">
        <v>90</v>
      </c>
      <c r="E125" s="91"/>
      <c r="F125" s="91">
        <v>1</v>
      </c>
      <c r="G125" s="92">
        <f t="shared" si="9"/>
        <v>82</v>
      </c>
      <c r="H125" s="84"/>
    </row>
    <row r="126" spans="1:8" x14ac:dyDescent="0.25">
      <c r="A126" s="83">
        <v>46165</v>
      </c>
      <c r="B126" s="84"/>
      <c r="C126" s="84"/>
      <c r="D126" s="84" t="s">
        <v>90</v>
      </c>
      <c r="E126" s="91"/>
      <c r="F126" s="91">
        <v>10</v>
      </c>
      <c r="G126" s="92">
        <f t="shared" si="9"/>
        <v>72</v>
      </c>
      <c r="H126" s="84"/>
    </row>
    <row r="127" spans="1:8" x14ac:dyDescent="0.25">
      <c r="A127" s="83">
        <v>46165</v>
      </c>
      <c r="B127" s="84"/>
      <c r="C127" s="84"/>
      <c r="D127" s="84" t="s">
        <v>345</v>
      </c>
      <c r="E127" s="91"/>
      <c r="F127" s="91">
        <v>0.5</v>
      </c>
      <c r="G127" s="92">
        <f t="shared" si="9"/>
        <v>71.5</v>
      </c>
      <c r="H127" s="84"/>
    </row>
    <row r="128" spans="1:8" x14ac:dyDescent="0.25">
      <c r="A128" s="83"/>
      <c r="B128" s="84"/>
      <c r="C128" s="84"/>
      <c r="D128" s="84"/>
      <c r="E128" s="91"/>
      <c r="F128" s="91"/>
      <c r="G128" s="92">
        <f t="shared" ref="G128:G137" si="10">G127+E128-F128</f>
        <v>71.5</v>
      </c>
      <c r="H128" s="84"/>
    </row>
    <row r="129" spans="1:8" x14ac:dyDescent="0.25">
      <c r="A129" s="83"/>
      <c r="B129" s="84"/>
      <c r="C129" s="84"/>
      <c r="D129" s="84"/>
      <c r="E129" s="91"/>
      <c r="F129" s="91"/>
      <c r="G129" s="92">
        <f t="shared" si="10"/>
        <v>71.5</v>
      </c>
      <c r="H129" s="84"/>
    </row>
    <row r="130" spans="1:8" x14ac:dyDescent="0.25">
      <c r="A130" s="83"/>
      <c r="B130" s="84"/>
      <c r="C130" s="84"/>
      <c r="D130" s="84"/>
      <c r="E130" s="91"/>
      <c r="F130" s="91"/>
      <c r="G130" s="92">
        <f t="shared" si="10"/>
        <v>71.5</v>
      </c>
      <c r="H130" s="84"/>
    </row>
    <row r="131" spans="1:8" x14ac:dyDescent="0.25">
      <c r="A131" s="83"/>
      <c r="B131" s="84"/>
      <c r="C131" s="84"/>
      <c r="D131" s="84"/>
      <c r="E131" s="91"/>
      <c r="F131" s="91"/>
      <c r="G131" s="92">
        <f t="shared" si="10"/>
        <v>71.5</v>
      </c>
      <c r="H131" s="84"/>
    </row>
    <row r="132" spans="1:8" x14ac:dyDescent="0.25">
      <c r="A132" s="83"/>
      <c r="B132" s="84"/>
      <c r="C132" s="84"/>
      <c r="D132" s="84"/>
      <c r="E132" s="91"/>
      <c r="F132" s="91"/>
      <c r="G132" s="92">
        <f t="shared" si="10"/>
        <v>71.5</v>
      </c>
      <c r="H132" s="84"/>
    </row>
    <row r="133" spans="1:8" x14ac:dyDescent="0.25">
      <c r="A133" s="83"/>
      <c r="B133" s="84"/>
      <c r="C133" s="84"/>
      <c r="D133" s="84"/>
      <c r="E133" s="91"/>
      <c r="F133" s="91"/>
      <c r="G133" s="92">
        <f t="shared" si="10"/>
        <v>71.5</v>
      </c>
      <c r="H133" s="84"/>
    </row>
    <row r="134" spans="1:8" x14ac:dyDescent="0.25">
      <c r="A134" s="83"/>
      <c r="B134" s="84"/>
      <c r="C134" s="84"/>
      <c r="D134" s="84"/>
      <c r="E134" s="91"/>
      <c r="F134" s="91"/>
      <c r="G134" s="92">
        <f t="shared" si="10"/>
        <v>71.5</v>
      </c>
      <c r="H134" s="84"/>
    </row>
    <row r="135" spans="1:8" x14ac:dyDescent="0.25">
      <c r="A135" s="83"/>
      <c r="B135" s="84"/>
      <c r="C135" s="84"/>
      <c r="D135" s="84"/>
      <c r="E135" s="91"/>
      <c r="F135" s="91"/>
      <c r="G135" s="92">
        <f t="shared" si="10"/>
        <v>71.5</v>
      </c>
      <c r="H135" s="84"/>
    </row>
    <row r="136" spans="1:8" x14ac:dyDescent="0.25">
      <c r="A136" s="83"/>
      <c r="B136" s="84"/>
      <c r="C136" s="84"/>
      <c r="D136" s="84"/>
      <c r="E136" s="91"/>
      <c r="F136" s="91"/>
      <c r="G136" s="92">
        <f t="shared" si="10"/>
        <v>71.5</v>
      </c>
      <c r="H136" s="84"/>
    </row>
    <row r="137" spans="1:8" x14ac:dyDescent="0.25">
      <c r="A137" s="83"/>
      <c r="B137" s="84"/>
      <c r="C137" s="84"/>
      <c r="D137" s="84"/>
      <c r="E137" s="91"/>
      <c r="F137" s="91"/>
      <c r="G137" s="92">
        <f t="shared" si="10"/>
        <v>71.5</v>
      </c>
      <c r="H137" s="84"/>
    </row>
  </sheetData>
  <autoFilter ref="A6:H94"/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5"/>
  <sheetViews>
    <sheetView topLeftCell="A84" workbookViewId="0">
      <selection activeCell="M107" sqref="M107"/>
    </sheetView>
  </sheetViews>
  <sheetFormatPr defaultRowHeight="15" x14ac:dyDescent="0.25"/>
  <cols>
    <col min="1" max="3" width="9.140625" style="31"/>
    <col min="4" max="4" width="27" style="31" customWidth="1"/>
    <col min="5" max="7" width="9.140625" style="44"/>
    <col min="8" max="16384" width="9.140625" style="31"/>
  </cols>
  <sheetData>
    <row r="1" spans="1:8" x14ac:dyDescent="0.25">
      <c r="A1" s="31" t="s">
        <v>0</v>
      </c>
    </row>
    <row r="2" spans="1:8" x14ac:dyDescent="0.25">
      <c r="A2" s="31" t="s">
        <v>1</v>
      </c>
    </row>
    <row r="3" spans="1:8" x14ac:dyDescent="0.25">
      <c r="A3" s="31" t="s">
        <v>2</v>
      </c>
    </row>
    <row r="4" spans="1:8" x14ac:dyDescent="0.25">
      <c r="A4" s="31" t="s">
        <v>150</v>
      </c>
    </row>
    <row r="6" spans="1:8" x14ac:dyDescent="0.25">
      <c r="A6" s="27" t="s">
        <v>4</v>
      </c>
      <c r="B6" s="27" t="s">
        <v>6</v>
      </c>
      <c r="C6" s="27" t="s">
        <v>5</v>
      </c>
      <c r="D6" s="27" t="s">
        <v>7</v>
      </c>
      <c r="E6" s="42" t="s">
        <v>8</v>
      </c>
      <c r="F6" s="42" t="s">
        <v>9</v>
      </c>
      <c r="G6" s="42" t="s">
        <v>10</v>
      </c>
      <c r="H6" s="27" t="s">
        <v>11</v>
      </c>
    </row>
    <row r="7" spans="1:8" x14ac:dyDescent="0.25">
      <c r="A7" s="30">
        <v>45809</v>
      </c>
      <c r="B7" s="27"/>
      <c r="C7" s="27"/>
      <c r="D7" s="27" t="s">
        <v>35</v>
      </c>
      <c r="E7" s="42"/>
      <c r="F7" s="42"/>
      <c r="G7" s="42">
        <v>204.5</v>
      </c>
      <c r="H7" s="27"/>
    </row>
    <row r="8" spans="1:8" x14ac:dyDescent="0.25">
      <c r="A8" s="30">
        <v>45810</v>
      </c>
      <c r="B8" s="27"/>
      <c r="C8" s="27"/>
      <c r="D8" s="27" t="s">
        <v>13</v>
      </c>
      <c r="E8" s="42"/>
      <c r="F8" s="42">
        <v>204.5</v>
      </c>
      <c r="G8" s="42">
        <f>G7+E8-F8</f>
        <v>0</v>
      </c>
      <c r="H8" s="27"/>
    </row>
    <row r="9" spans="1:8" x14ac:dyDescent="0.25">
      <c r="A9" s="28">
        <v>45816</v>
      </c>
      <c r="B9" s="29"/>
      <c r="C9" s="29"/>
      <c r="D9" s="29" t="s">
        <v>16</v>
      </c>
      <c r="E9" s="43">
        <v>10</v>
      </c>
      <c r="F9" s="43"/>
      <c r="G9" s="43">
        <f t="shared" ref="G9:G16" si="0">G8+E9-F9</f>
        <v>10</v>
      </c>
      <c r="H9" s="29"/>
    </row>
    <row r="10" spans="1:8" x14ac:dyDescent="0.25">
      <c r="A10" s="30">
        <v>45816</v>
      </c>
      <c r="B10" s="27"/>
      <c r="C10" s="27"/>
      <c r="D10" s="27" t="s">
        <v>19</v>
      </c>
      <c r="E10" s="42"/>
      <c r="F10" s="42">
        <v>10</v>
      </c>
      <c r="G10" s="42">
        <f t="shared" si="0"/>
        <v>0</v>
      </c>
      <c r="H10" s="27"/>
    </row>
    <row r="11" spans="1:8" x14ac:dyDescent="0.25">
      <c r="A11" s="28">
        <v>45817</v>
      </c>
      <c r="B11" s="29"/>
      <c r="C11" s="29"/>
      <c r="D11" s="29" t="s">
        <v>16</v>
      </c>
      <c r="E11" s="43">
        <v>10</v>
      </c>
      <c r="F11" s="43"/>
      <c r="G11" s="43">
        <f t="shared" si="0"/>
        <v>10</v>
      </c>
      <c r="H11" s="27"/>
    </row>
    <row r="12" spans="1:8" x14ac:dyDescent="0.25">
      <c r="A12" s="30">
        <v>45817</v>
      </c>
      <c r="B12" s="27"/>
      <c r="C12" s="27"/>
      <c r="D12" s="27" t="s">
        <v>17</v>
      </c>
      <c r="E12" s="42"/>
      <c r="F12" s="42">
        <v>10</v>
      </c>
      <c r="G12" s="42">
        <f t="shared" si="0"/>
        <v>0</v>
      </c>
      <c r="H12" s="27"/>
    </row>
    <row r="13" spans="1:8" x14ac:dyDescent="0.25">
      <c r="A13" s="28">
        <v>45820</v>
      </c>
      <c r="B13" s="29"/>
      <c r="C13" s="29"/>
      <c r="D13" s="29" t="s">
        <v>16</v>
      </c>
      <c r="E13" s="43">
        <v>2</v>
      </c>
      <c r="F13" s="43"/>
      <c r="G13" s="43">
        <f t="shared" si="0"/>
        <v>2</v>
      </c>
      <c r="H13" s="29"/>
    </row>
    <row r="14" spans="1:8" x14ac:dyDescent="0.25">
      <c r="A14" s="30">
        <v>45820</v>
      </c>
      <c r="B14" s="27"/>
      <c r="C14" s="27"/>
      <c r="D14" s="27" t="s">
        <v>45</v>
      </c>
      <c r="E14" s="42"/>
      <c r="F14" s="42">
        <v>2</v>
      </c>
      <c r="G14" s="42">
        <f t="shared" si="0"/>
        <v>0</v>
      </c>
      <c r="H14" s="27"/>
    </row>
    <row r="15" spans="1:8" x14ac:dyDescent="0.25">
      <c r="A15" s="28">
        <v>45838</v>
      </c>
      <c r="B15" s="29">
        <v>7328</v>
      </c>
      <c r="C15" s="29"/>
      <c r="D15" s="29" t="s">
        <v>129</v>
      </c>
      <c r="E15" s="43">
        <v>210</v>
      </c>
      <c r="F15" s="43"/>
      <c r="G15" s="43">
        <f t="shared" si="0"/>
        <v>210</v>
      </c>
      <c r="H15" s="29"/>
    </row>
    <row r="16" spans="1:8" x14ac:dyDescent="0.25">
      <c r="A16" s="30">
        <v>45839</v>
      </c>
      <c r="B16" s="27"/>
      <c r="C16" s="27"/>
      <c r="D16" s="27" t="s">
        <v>78</v>
      </c>
      <c r="E16" s="42"/>
      <c r="F16" s="42">
        <v>10</v>
      </c>
      <c r="G16" s="42">
        <f t="shared" si="0"/>
        <v>200</v>
      </c>
      <c r="H16" s="27"/>
    </row>
    <row r="17" spans="1:8" x14ac:dyDescent="0.25">
      <c r="A17" s="30">
        <v>45839</v>
      </c>
      <c r="B17" s="27"/>
      <c r="C17" s="27"/>
      <c r="D17" s="27" t="s">
        <v>28</v>
      </c>
      <c r="E17" s="42"/>
      <c r="F17" s="42">
        <v>9</v>
      </c>
      <c r="G17" s="42">
        <f t="shared" ref="G17:G28" si="1">G16+E17-F17</f>
        <v>191</v>
      </c>
      <c r="H17" s="27"/>
    </row>
    <row r="18" spans="1:8" x14ac:dyDescent="0.25">
      <c r="A18" s="30">
        <v>45841</v>
      </c>
      <c r="B18" s="27"/>
      <c r="C18" s="27"/>
      <c r="D18" s="27" t="s">
        <v>93</v>
      </c>
      <c r="E18" s="42"/>
      <c r="F18" s="42">
        <v>2</v>
      </c>
      <c r="G18" s="42">
        <f t="shared" si="1"/>
        <v>189</v>
      </c>
      <c r="H18" s="27"/>
    </row>
    <row r="19" spans="1:8" x14ac:dyDescent="0.25">
      <c r="A19" s="30">
        <v>45842</v>
      </c>
      <c r="B19" s="27"/>
      <c r="C19" s="27"/>
      <c r="D19" s="27" t="s">
        <v>151</v>
      </c>
      <c r="E19" s="42"/>
      <c r="F19" s="42">
        <v>9</v>
      </c>
      <c r="G19" s="42">
        <f t="shared" si="1"/>
        <v>180</v>
      </c>
      <c r="H19" s="27"/>
    </row>
    <row r="20" spans="1:8" x14ac:dyDescent="0.25">
      <c r="A20" s="30">
        <v>45845</v>
      </c>
      <c r="B20" s="27"/>
      <c r="C20" s="27"/>
      <c r="D20" s="27" t="s">
        <v>61</v>
      </c>
      <c r="E20" s="42"/>
      <c r="F20" s="42">
        <v>24</v>
      </c>
      <c r="G20" s="42">
        <f t="shared" si="1"/>
        <v>156</v>
      </c>
      <c r="H20" s="27"/>
    </row>
    <row r="21" spans="1:8" x14ac:dyDescent="0.25">
      <c r="A21" s="30">
        <v>45846</v>
      </c>
      <c r="B21" s="27"/>
      <c r="C21" s="27"/>
      <c r="D21" s="27" t="s">
        <v>61</v>
      </c>
      <c r="E21" s="42"/>
      <c r="F21" s="42">
        <v>4</v>
      </c>
      <c r="G21" s="42">
        <f t="shared" si="1"/>
        <v>152</v>
      </c>
      <c r="H21" s="27"/>
    </row>
    <row r="22" spans="1:8" x14ac:dyDescent="0.25">
      <c r="A22" s="30">
        <v>45881</v>
      </c>
      <c r="B22" s="27"/>
      <c r="C22" s="27"/>
      <c r="D22" s="27" t="s">
        <v>55</v>
      </c>
      <c r="E22" s="42"/>
      <c r="F22" s="42">
        <v>4</v>
      </c>
      <c r="G22" s="42">
        <f t="shared" si="1"/>
        <v>148</v>
      </c>
      <c r="H22" s="27"/>
    </row>
    <row r="23" spans="1:8" x14ac:dyDescent="0.25">
      <c r="A23" s="30">
        <v>45851</v>
      </c>
      <c r="B23" s="27"/>
      <c r="C23" s="27"/>
      <c r="D23" s="27" t="s">
        <v>60</v>
      </c>
      <c r="E23" s="42"/>
      <c r="F23" s="42">
        <v>8</v>
      </c>
      <c r="G23" s="42">
        <f t="shared" si="1"/>
        <v>140</v>
      </c>
      <c r="H23" s="27"/>
    </row>
    <row r="24" spans="1:8" x14ac:dyDescent="0.25">
      <c r="A24" s="30">
        <v>45854</v>
      </c>
      <c r="B24" s="27"/>
      <c r="C24" s="27"/>
      <c r="D24" s="27" t="s">
        <v>152</v>
      </c>
      <c r="E24" s="42"/>
      <c r="F24" s="42">
        <v>45</v>
      </c>
      <c r="G24" s="42">
        <f t="shared" si="1"/>
        <v>95</v>
      </c>
      <c r="H24" s="27"/>
    </row>
    <row r="25" spans="1:8" x14ac:dyDescent="0.25">
      <c r="A25" s="30">
        <v>45863</v>
      </c>
      <c r="B25" s="27"/>
      <c r="C25" s="27"/>
      <c r="D25" s="27" t="s">
        <v>95</v>
      </c>
      <c r="E25" s="42"/>
      <c r="F25" s="42">
        <v>15</v>
      </c>
      <c r="G25" s="42">
        <f t="shared" si="1"/>
        <v>80</v>
      </c>
      <c r="H25" s="27"/>
    </row>
    <row r="26" spans="1:8" x14ac:dyDescent="0.25">
      <c r="A26" s="30">
        <v>45864</v>
      </c>
      <c r="B26" s="27"/>
      <c r="C26" s="27"/>
      <c r="D26" s="27" t="s">
        <v>13</v>
      </c>
      <c r="E26" s="42"/>
      <c r="F26" s="42">
        <v>20</v>
      </c>
      <c r="G26" s="42">
        <f t="shared" si="1"/>
        <v>60</v>
      </c>
      <c r="H26" s="27"/>
    </row>
    <row r="27" spans="1:8" x14ac:dyDescent="0.25">
      <c r="A27" s="30">
        <v>45868</v>
      </c>
      <c r="B27" s="27"/>
      <c r="C27" s="27"/>
      <c r="D27" s="27" t="s">
        <v>71</v>
      </c>
      <c r="E27" s="42"/>
      <c r="F27" s="42">
        <v>9</v>
      </c>
      <c r="G27" s="42">
        <f t="shared" si="1"/>
        <v>51</v>
      </c>
      <c r="H27" s="27"/>
    </row>
    <row r="28" spans="1:8" x14ac:dyDescent="0.25">
      <c r="A28" s="30">
        <v>45871</v>
      </c>
      <c r="B28" s="27"/>
      <c r="C28" s="27"/>
      <c r="D28" s="27" t="s">
        <v>153</v>
      </c>
      <c r="E28" s="42"/>
      <c r="F28" s="42">
        <v>8</v>
      </c>
      <c r="G28" s="42">
        <f t="shared" si="1"/>
        <v>43</v>
      </c>
      <c r="H28" s="27"/>
    </row>
    <row r="29" spans="1:8" x14ac:dyDescent="0.25">
      <c r="A29" s="30">
        <v>45874</v>
      </c>
      <c r="B29" s="27"/>
      <c r="C29" s="27"/>
      <c r="D29" s="27" t="s">
        <v>154</v>
      </c>
      <c r="E29" s="42"/>
      <c r="F29" s="42">
        <v>9</v>
      </c>
      <c r="G29" s="42">
        <f t="shared" ref="G29:G42" si="2">G28+E29-F29</f>
        <v>34</v>
      </c>
      <c r="H29" s="27"/>
    </row>
    <row r="30" spans="1:8" x14ac:dyDescent="0.25">
      <c r="A30" s="30">
        <v>45883</v>
      </c>
      <c r="B30" s="27"/>
      <c r="C30" s="27"/>
      <c r="D30" s="27" t="s">
        <v>155</v>
      </c>
      <c r="E30" s="42"/>
      <c r="F30" s="42">
        <v>8.5</v>
      </c>
      <c r="G30" s="42">
        <f t="shared" si="2"/>
        <v>25.5</v>
      </c>
      <c r="H30" s="27"/>
    </row>
    <row r="31" spans="1:8" x14ac:dyDescent="0.25">
      <c r="A31" s="30">
        <v>45885</v>
      </c>
      <c r="B31" s="27"/>
      <c r="C31" s="27"/>
      <c r="D31" s="27" t="s">
        <v>75</v>
      </c>
      <c r="E31" s="42"/>
      <c r="F31" s="42">
        <v>8</v>
      </c>
      <c r="G31" s="42">
        <f t="shared" si="2"/>
        <v>17.5</v>
      </c>
      <c r="H31" s="27"/>
    </row>
    <row r="32" spans="1:8" x14ac:dyDescent="0.25">
      <c r="A32" s="30">
        <v>45893</v>
      </c>
      <c r="B32" s="27"/>
      <c r="C32" s="27"/>
      <c r="D32" s="27" t="s">
        <v>85</v>
      </c>
      <c r="E32" s="42"/>
      <c r="F32" s="42">
        <v>17</v>
      </c>
      <c r="G32" s="42">
        <f t="shared" si="2"/>
        <v>0.5</v>
      </c>
      <c r="H32" s="27"/>
    </row>
    <row r="33" spans="1:8" x14ac:dyDescent="0.25">
      <c r="A33" s="28">
        <v>45896</v>
      </c>
      <c r="B33" s="29">
        <v>174541</v>
      </c>
      <c r="C33" s="29"/>
      <c r="D33" s="29" t="s">
        <v>129</v>
      </c>
      <c r="E33" s="43">
        <v>210</v>
      </c>
      <c r="F33" s="43"/>
      <c r="G33" s="43">
        <f t="shared" si="2"/>
        <v>210.5</v>
      </c>
      <c r="H33" s="29"/>
    </row>
    <row r="34" spans="1:8" x14ac:dyDescent="0.25">
      <c r="A34" s="32">
        <v>45896</v>
      </c>
      <c r="B34" s="33"/>
      <c r="C34" s="33"/>
      <c r="D34" s="33" t="s">
        <v>13</v>
      </c>
      <c r="E34" s="92"/>
      <c r="F34" s="92">
        <v>30</v>
      </c>
      <c r="G34" s="92">
        <f t="shared" si="2"/>
        <v>180.5</v>
      </c>
      <c r="H34" s="33"/>
    </row>
    <row r="35" spans="1:8" x14ac:dyDescent="0.25">
      <c r="A35" s="30">
        <v>45908</v>
      </c>
      <c r="B35" s="27"/>
      <c r="C35" s="27"/>
      <c r="D35" s="27" t="s">
        <v>156</v>
      </c>
      <c r="E35" s="42"/>
      <c r="F35" s="42">
        <v>8</v>
      </c>
      <c r="G35" s="43">
        <f t="shared" si="2"/>
        <v>172.5</v>
      </c>
      <c r="H35" s="27"/>
    </row>
    <row r="36" spans="1:8" x14ac:dyDescent="0.25">
      <c r="A36" s="30">
        <v>45908</v>
      </c>
      <c r="B36" s="27"/>
      <c r="C36" s="27"/>
      <c r="D36" s="27" t="s">
        <v>157</v>
      </c>
      <c r="E36" s="42"/>
      <c r="F36" s="42">
        <v>1</v>
      </c>
      <c r="G36" s="42">
        <f t="shared" si="2"/>
        <v>171.5</v>
      </c>
      <c r="H36" s="27"/>
    </row>
    <row r="37" spans="1:8" x14ac:dyDescent="0.25">
      <c r="A37" s="30">
        <v>45909</v>
      </c>
      <c r="B37" s="27"/>
      <c r="C37" s="27"/>
      <c r="D37" s="27" t="s">
        <v>20</v>
      </c>
      <c r="E37" s="42"/>
      <c r="F37" s="42">
        <v>0.5</v>
      </c>
      <c r="G37" s="42">
        <f t="shared" si="2"/>
        <v>171</v>
      </c>
      <c r="H37" s="27"/>
    </row>
    <row r="38" spans="1:8" x14ac:dyDescent="0.25">
      <c r="A38" s="30">
        <v>45918</v>
      </c>
      <c r="B38" s="27"/>
      <c r="C38" s="27"/>
      <c r="D38" s="27" t="s">
        <v>177</v>
      </c>
      <c r="E38" s="42"/>
      <c r="F38" s="42">
        <v>6</v>
      </c>
      <c r="G38" s="42">
        <f t="shared" si="2"/>
        <v>165</v>
      </c>
      <c r="H38" s="27"/>
    </row>
    <row r="39" spans="1:8" x14ac:dyDescent="0.25">
      <c r="A39" s="30">
        <v>45925</v>
      </c>
      <c r="B39" s="27"/>
      <c r="C39" s="27"/>
      <c r="D39" s="27" t="s">
        <v>155</v>
      </c>
      <c r="E39" s="42"/>
      <c r="F39" s="42">
        <v>1</v>
      </c>
      <c r="G39" s="42">
        <f t="shared" si="2"/>
        <v>164</v>
      </c>
      <c r="H39" s="27"/>
    </row>
    <row r="40" spans="1:8" x14ac:dyDescent="0.25">
      <c r="A40" s="30">
        <v>45931</v>
      </c>
      <c r="B40" s="27"/>
      <c r="C40" s="27"/>
      <c r="D40" s="27" t="s">
        <v>80</v>
      </c>
      <c r="E40" s="42"/>
      <c r="F40" s="42">
        <v>3</v>
      </c>
      <c r="G40" s="42">
        <f t="shared" si="2"/>
        <v>161</v>
      </c>
      <c r="H40" s="27"/>
    </row>
    <row r="41" spans="1:8" x14ac:dyDescent="0.25">
      <c r="A41" s="30">
        <v>45941</v>
      </c>
      <c r="B41" s="27">
        <v>2111</v>
      </c>
      <c r="C41" s="27">
        <v>72137</v>
      </c>
      <c r="D41" s="27" t="s">
        <v>42</v>
      </c>
      <c r="E41" s="42"/>
      <c r="F41" s="42">
        <v>50</v>
      </c>
      <c r="G41" s="42">
        <f t="shared" si="2"/>
        <v>111</v>
      </c>
      <c r="H41" s="27"/>
    </row>
    <row r="42" spans="1:8" x14ac:dyDescent="0.25">
      <c r="A42" s="30">
        <v>45941</v>
      </c>
      <c r="B42" s="27"/>
      <c r="C42" s="27"/>
      <c r="D42" s="27" t="s">
        <v>202</v>
      </c>
      <c r="E42" s="42"/>
      <c r="F42" s="42">
        <v>4</v>
      </c>
      <c r="G42" s="42">
        <f t="shared" si="2"/>
        <v>107</v>
      </c>
      <c r="H42" s="27"/>
    </row>
    <row r="43" spans="1:8" x14ac:dyDescent="0.25">
      <c r="A43" s="30">
        <v>45944</v>
      </c>
      <c r="B43" s="27"/>
      <c r="C43" s="27"/>
      <c r="D43" s="27" t="s">
        <v>199</v>
      </c>
      <c r="E43" s="42"/>
      <c r="F43" s="42">
        <v>2</v>
      </c>
      <c r="G43" s="42">
        <f t="shared" ref="G43:G49" si="3">G42+E43-F43</f>
        <v>105</v>
      </c>
      <c r="H43" s="27"/>
    </row>
    <row r="44" spans="1:8" x14ac:dyDescent="0.25">
      <c r="A44" s="30">
        <v>45945</v>
      </c>
      <c r="B44" s="27"/>
      <c r="C44" s="27"/>
      <c r="D44" s="27" t="s">
        <v>206</v>
      </c>
      <c r="E44" s="42"/>
      <c r="F44" s="42">
        <v>9</v>
      </c>
      <c r="G44" s="42">
        <f t="shared" si="3"/>
        <v>96</v>
      </c>
      <c r="H44" s="27"/>
    </row>
    <row r="45" spans="1:8" x14ac:dyDescent="0.25">
      <c r="A45" s="30">
        <v>45962</v>
      </c>
      <c r="B45" s="27"/>
      <c r="C45" s="27"/>
      <c r="D45" s="27" t="s">
        <v>213</v>
      </c>
      <c r="E45" s="42"/>
      <c r="F45" s="42">
        <v>1</v>
      </c>
      <c r="G45" s="42">
        <f t="shared" si="3"/>
        <v>95</v>
      </c>
      <c r="H45" s="27"/>
    </row>
    <row r="46" spans="1:8" x14ac:dyDescent="0.25">
      <c r="A46" s="30">
        <v>45964</v>
      </c>
      <c r="B46" s="27"/>
      <c r="C46" s="27"/>
      <c r="D46" s="27" t="s">
        <v>213</v>
      </c>
      <c r="E46" s="42"/>
      <c r="F46" s="42">
        <v>5</v>
      </c>
      <c r="G46" s="42">
        <f t="shared" si="3"/>
        <v>90</v>
      </c>
      <c r="H46" s="27"/>
    </row>
    <row r="47" spans="1:8" x14ac:dyDescent="0.25">
      <c r="A47" s="30">
        <v>45966</v>
      </c>
      <c r="B47" s="27"/>
      <c r="C47" s="27"/>
      <c r="D47" s="27" t="s">
        <v>13</v>
      </c>
      <c r="E47" s="42"/>
      <c r="F47" s="42">
        <v>20</v>
      </c>
      <c r="G47" s="42">
        <f t="shared" si="3"/>
        <v>70</v>
      </c>
      <c r="H47" s="27"/>
    </row>
    <row r="48" spans="1:8" x14ac:dyDescent="0.25">
      <c r="A48" s="30">
        <v>45976</v>
      </c>
      <c r="B48" s="27"/>
      <c r="C48" s="27"/>
      <c r="D48" s="27" t="s">
        <v>187</v>
      </c>
      <c r="E48" s="42"/>
      <c r="F48" s="42">
        <v>1</v>
      </c>
      <c r="G48" s="42">
        <f t="shared" si="3"/>
        <v>69</v>
      </c>
      <c r="H48" s="27"/>
    </row>
    <row r="49" spans="1:8" x14ac:dyDescent="0.25">
      <c r="A49" s="30">
        <v>45980</v>
      </c>
      <c r="B49" s="27"/>
      <c r="C49" s="27"/>
      <c r="D49" s="27" t="s">
        <v>59</v>
      </c>
      <c r="E49" s="42"/>
      <c r="F49" s="42">
        <v>2.5</v>
      </c>
      <c r="G49" s="42">
        <f t="shared" si="3"/>
        <v>66.5</v>
      </c>
      <c r="H49" s="27"/>
    </row>
    <row r="50" spans="1:8" x14ac:dyDescent="0.25">
      <c r="A50" s="30">
        <v>46000</v>
      </c>
      <c r="B50" s="27"/>
      <c r="C50" s="27"/>
      <c r="D50" s="27" t="s">
        <v>17</v>
      </c>
      <c r="E50" s="42"/>
      <c r="F50" s="42">
        <v>10</v>
      </c>
      <c r="G50" s="42">
        <f t="shared" ref="G50:G64" si="4">G49+E50-F50</f>
        <v>56.5</v>
      </c>
      <c r="H50" s="27"/>
    </row>
    <row r="51" spans="1:8" x14ac:dyDescent="0.25">
      <c r="A51" s="30">
        <v>46001</v>
      </c>
      <c r="B51" s="27"/>
      <c r="C51" s="27"/>
      <c r="D51" s="27" t="s">
        <v>18</v>
      </c>
      <c r="E51" s="42"/>
      <c r="F51" s="42">
        <v>10</v>
      </c>
      <c r="G51" s="42">
        <f t="shared" si="4"/>
        <v>46.5</v>
      </c>
      <c r="H51" s="27"/>
    </row>
    <row r="52" spans="1:8" x14ac:dyDescent="0.25">
      <c r="A52" s="30">
        <v>46001</v>
      </c>
      <c r="B52" s="27">
        <v>205956</v>
      </c>
      <c r="C52" s="27">
        <v>71969</v>
      </c>
      <c r="D52" s="27" t="s">
        <v>278</v>
      </c>
      <c r="E52" s="42"/>
      <c r="F52" s="42">
        <v>7</v>
      </c>
      <c r="G52" s="42">
        <f t="shared" si="4"/>
        <v>39.5</v>
      </c>
      <c r="H52" s="27"/>
    </row>
    <row r="53" spans="1:8" x14ac:dyDescent="0.25">
      <c r="A53" s="30">
        <v>46002</v>
      </c>
      <c r="B53" s="27">
        <v>205986</v>
      </c>
      <c r="C53" s="27">
        <v>71970</v>
      </c>
      <c r="D53" s="27" t="s">
        <v>260</v>
      </c>
      <c r="E53" s="42"/>
      <c r="F53" s="42">
        <v>23</v>
      </c>
      <c r="G53" s="42">
        <f t="shared" si="4"/>
        <v>16.5</v>
      </c>
      <c r="H53" s="27"/>
    </row>
    <row r="54" spans="1:8" x14ac:dyDescent="0.25">
      <c r="A54" s="30">
        <v>46007</v>
      </c>
      <c r="B54" s="27"/>
      <c r="C54" s="27"/>
      <c r="D54" s="27" t="s">
        <v>263</v>
      </c>
      <c r="E54" s="42"/>
      <c r="F54" s="42">
        <v>10</v>
      </c>
      <c r="G54" s="42">
        <f t="shared" si="4"/>
        <v>6.5</v>
      </c>
      <c r="H54" s="27"/>
    </row>
    <row r="55" spans="1:8" x14ac:dyDescent="0.25">
      <c r="A55" s="30">
        <v>46007</v>
      </c>
      <c r="B55" s="27"/>
      <c r="C55" s="27"/>
      <c r="D55" s="27" t="s">
        <v>263</v>
      </c>
      <c r="E55" s="42"/>
      <c r="F55" s="42">
        <v>6.5</v>
      </c>
      <c r="G55" s="42">
        <f t="shared" si="4"/>
        <v>0</v>
      </c>
      <c r="H55" s="27"/>
    </row>
    <row r="56" spans="1:8" x14ac:dyDescent="0.25">
      <c r="A56" s="28">
        <v>46007</v>
      </c>
      <c r="B56" s="29">
        <v>141260</v>
      </c>
      <c r="C56" s="29"/>
      <c r="D56" s="29" t="s">
        <v>129</v>
      </c>
      <c r="E56" s="43">
        <v>210</v>
      </c>
      <c r="F56" s="43"/>
      <c r="G56" s="42">
        <f t="shared" si="4"/>
        <v>210</v>
      </c>
      <c r="H56" s="29"/>
    </row>
    <row r="57" spans="1:8" x14ac:dyDescent="0.25">
      <c r="A57" s="30">
        <v>46008</v>
      </c>
      <c r="B57" s="27"/>
      <c r="C57" s="27"/>
      <c r="D57" s="27" t="s">
        <v>244</v>
      </c>
      <c r="E57" s="42"/>
      <c r="F57" s="42">
        <v>3</v>
      </c>
      <c r="G57" s="42">
        <f t="shared" si="4"/>
        <v>207</v>
      </c>
      <c r="H57" s="27"/>
    </row>
    <row r="58" spans="1:8" x14ac:dyDescent="0.25">
      <c r="A58" s="30">
        <v>46009</v>
      </c>
      <c r="B58" s="27"/>
      <c r="C58" s="27"/>
      <c r="D58" s="27" t="s">
        <v>263</v>
      </c>
      <c r="E58" s="42"/>
      <c r="F58" s="42">
        <v>1.5</v>
      </c>
      <c r="G58" s="42">
        <f t="shared" si="4"/>
        <v>205.5</v>
      </c>
      <c r="H58" s="27"/>
    </row>
    <row r="59" spans="1:8" x14ac:dyDescent="0.25">
      <c r="A59" s="30">
        <v>46009</v>
      </c>
      <c r="B59" s="27"/>
      <c r="C59" s="27"/>
      <c r="D59" s="27" t="s">
        <v>95</v>
      </c>
      <c r="E59" s="42"/>
      <c r="F59" s="42">
        <v>15</v>
      </c>
      <c r="G59" s="42">
        <f t="shared" si="4"/>
        <v>190.5</v>
      </c>
      <c r="H59" s="27"/>
    </row>
    <row r="60" spans="1:8" x14ac:dyDescent="0.25">
      <c r="A60" s="30">
        <v>46009</v>
      </c>
      <c r="B60" s="27"/>
      <c r="C60" s="27"/>
      <c r="D60" s="27" t="s">
        <v>13</v>
      </c>
      <c r="E60" s="42"/>
      <c r="F60" s="42">
        <v>20</v>
      </c>
      <c r="G60" s="42">
        <f t="shared" si="4"/>
        <v>170.5</v>
      </c>
      <c r="H60" s="27"/>
    </row>
    <row r="61" spans="1:8" x14ac:dyDescent="0.25">
      <c r="A61" s="30">
        <v>46009</v>
      </c>
      <c r="B61" s="27"/>
      <c r="C61" s="27"/>
      <c r="D61" s="27" t="s">
        <v>247</v>
      </c>
      <c r="E61" s="42"/>
      <c r="F61" s="42">
        <v>8</v>
      </c>
      <c r="G61" s="42">
        <f t="shared" si="4"/>
        <v>162.5</v>
      </c>
      <c r="H61" s="27"/>
    </row>
    <row r="62" spans="1:8" x14ac:dyDescent="0.25">
      <c r="A62" s="30">
        <v>46011</v>
      </c>
      <c r="B62" s="27"/>
      <c r="C62" s="27"/>
      <c r="D62" s="27" t="s">
        <v>13</v>
      </c>
      <c r="E62" s="42"/>
      <c r="F62" s="42">
        <v>20</v>
      </c>
      <c r="G62" s="42">
        <f t="shared" si="4"/>
        <v>142.5</v>
      </c>
      <c r="H62" s="27"/>
    </row>
    <row r="63" spans="1:8" x14ac:dyDescent="0.25">
      <c r="A63" s="30">
        <v>46011</v>
      </c>
      <c r="B63" s="27"/>
      <c r="C63" s="27"/>
      <c r="D63" s="27" t="s">
        <v>155</v>
      </c>
      <c r="E63" s="42"/>
      <c r="F63" s="42">
        <v>9</v>
      </c>
      <c r="G63" s="42">
        <f t="shared" si="4"/>
        <v>133.5</v>
      </c>
      <c r="H63" s="27"/>
    </row>
    <row r="64" spans="1:8" x14ac:dyDescent="0.25">
      <c r="A64" s="30">
        <v>46013</v>
      </c>
      <c r="B64" s="27"/>
      <c r="C64" s="27"/>
      <c r="D64" s="27" t="s">
        <v>265</v>
      </c>
      <c r="E64" s="42"/>
      <c r="F64" s="42">
        <v>6.5</v>
      </c>
      <c r="G64" s="42">
        <f t="shared" si="4"/>
        <v>127</v>
      </c>
      <c r="H64" s="27"/>
    </row>
    <row r="65" spans="1:8" x14ac:dyDescent="0.25">
      <c r="A65" s="30">
        <v>46013</v>
      </c>
      <c r="B65" s="27"/>
      <c r="C65" s="27"/>
      <c r="D65" s="27" t="s">
        <v>232</v>
      </c>
      <c r="E65" s="42"/>
      <c r="F65" s="42">
        <v>6</v>
      </c>
      <c r="G65" s="42">
        <f t="shared" ref="G65:G70" si="5">G64+E65-F65</f>
        <v>121</v>
      </c>
      <c r="H65" s="27"/>
    </row>
    <row r="66" spans="1:8" x14ac:dyDescent="0.25">
      <c r="A66" s="30">
        <v>46013</v>
      </c>
      <c r="B66" s="27"/>
      <c r="C66" s="27"/>
      <c r="D66" s="27" t="s">
        <v>31</v>
      </c>
      <c r="E66" s="42"/>
      <c r="F66" s="42">
        <v>1</v>
      </c>
      <c r="G66" s="42">
        <f t="shared" si="5"/>
        <v>120</v>
      </c>
      <c r="H66" s="27"/>
    </row>
    <row r="67" spans="1:8" x14ac:dyDescent="0.25">
      <c r="A67" s="30">
        <v>46013</v>
      </c>
      <c r="B67" s="27"/>
      <c r="C67" s="27"/>
      <c r="D67" s="27" t="s">
        <v>60</v>
      </c>
      <c r="E67" s="42"/>
      <c r="F67" s="42">
        <v>10</v>
      </c>
      <c r="G67" s="42">
        <f t="shared" si="5"/>
        <v>110</v>
      </c>
      <c r="H67" s="27"/>
    </row>
    <row r="68" spans="1:8" x14ac:dyDescent="0.25">
      <c r="A68" s="30">
        <v>46013</v>
      </c>
      <c r="B68" s="27"/>
      <c r="C68" s="27"/>
      <c r="D68" s="27" t="s">
        <v>266</v>
      </c>
      <c r="E68" s="42"/>
      <c r="F68" s="42">
        <v>28</v>
      </c>
      <c r="G68" s="42">
        <f t="shared" si="5"/>
        <v>82</v>
      </c>
      <c r="H68" s="27"/>
    </row>
    <row r="69" spans="1:8" x14ac:dyDescent="0.25">
      <c r="A69" s="30">
        <v>46014</v>
      </c>
      <c r="B69" s="27"/>
      <c r="C69" s="27"/>
      <c r="D69" s="27" t="s">
        <v>263</v>
      </c>
      <c r="E69" s="42"/>
      <c r="F69" s="42">
        <v>30</v>
      </c>
      <c r="G69" s="42">
        <f t="shared" si="5"/>
        <v>52</v>
      </c>
      <c r="H69" s="27"/>
    </row>
    <row r="70" spans="1:8" x14ac:dyDescent="0.25">
      <c r="A70" s="30">
        <v>46014</v>
      </c>
      <c r="B70" s="27"/>
      <c r="C70" s="27"/>
      <c r="D70" s="27" t="s">
        <v>161</v>
      </c>
      <c r="E70" s="42"/>
      <c r="F70" s="42">
        <v>22</v>
      </c>
      <c r="G70" s="42">
        <f t="shared" si="5"/>
        <v>30</v>
      </c>
      <c r="H70" s="27"/>
    </row>
    <row r="71" spans="1:8" x14ac:dyDescent="0.25">
      <c r="A71" s="30">
        <v>46014</v>
      </c>
      <c r="B71" s="27"/>
      <c r="C71" s="27"/>
      <c r="D71" s="27" t="s">
        <v>234</v>
      </c>
      <c r="E71" s="42"/>
      <c r="F71" s="42">
        <v>5</v>
      </c>
      <c r="G71" s="42">
        <f t="shared" ref="G71:G76" si="6">G70+E71-F71</f>
        <v>25</v>
      </c>
      <c r="H71" s="27"/>
    </row>
    <row r="72" spans="1:8" x14ac:dyDescent="0.25">
      <c r="A72" s="30">
        <v>46014</v>
      </c>
      <c r="B72" s="27"/>
      <c r="C72" s="27"/>
      <c r="D72" s="27" t="s">
        <v>272</v>
      </c>
      <c r="E72" s="42"/>
      <c r="F72" s="42">
        <v>8.5</v>
      </c>
      <c r="G72" s="42">
        <f t="shared" si="6"/>
        <v>16.5</v>
      </c>
      <c r="H72" s="27"/>
    </row>
    <row r="73" spans="1:8" x14ac:dyDescent="0.25">
      <c r="A73" s="30">
        <v>46015</v>
      </c>
      <c r="B73" s="27"/>
      <c r="C73" s="27"/>
      <c r="D73" s="27" t="s">
        <v>273</v>
      </c>
      <c r="E73" s="42"/>
      <c r="F73" s="42">
        <v>8</v>
      </c>
      <c r="G73" s="42">
        <f t="shared" si="6"/>
        <v>8.5</v>
      </c>
      <c r="H73" s="27"/>
    </row>
    <row r="74" spans="1:8" x14ac:dyDescent="0.25">
      <c r="A74" s="30">
        <v>46017</v>
      </c>
      <c r="B74" s="27"/>
      <c r="C74" s="27"/>
      <c r="D74" s="27" t="s">
        <v>263</v>
      </c>
      <c r="E74" s="42"/>
      <c r="F74" s="42">
        <v>3</v>
      </c>
      <c r="G74" s="42">
        <f t="shared" si="6"/>
        <v>5.5</v>
      </c>
      <c r="H74" s="27"/>
    </row>
    <row r="75" spans="1:8" x14ac:dyDescent="0.25">
      <c r="A75" s="30">
        <v>46019</v>
      </c>
      <c r="B75" s="27"/>
      <c r="C75" s="27"/>
      <c r="D75" s="27" t="s">
        <v>287</v>
      </c>
      <c r="E75" s="42"/>
      <c r="F75" s="42">
        <v>3</v>
      </c>
      <c r="G75" s="42">
        <f t="shared" si="6"/>
        <v>2.5</v>
      </c>
      <c r="H75" s="27"/>
    </row>
    <row r="76" spans="1:8" x14ac:dyDescent="0.25">
      <c r="A76" s="28">
        <v>46036</v>
      </c>
      <c r="B76" s="29">
        <v>142464</v>
      </c>
      <c r="C76" s="29"/>
      <c r="D76" s="29" t="s">
        <v>129</v>
      </c>
      <c r="E76" s="43">
        <v>210</v>
      </c>
      <c r="F76" s="43"/>
      <c r="G76" s="43">
        <f t="shared" si="6"/>
        <v>212.5</v>
      </c>
      <c r="H76" s="29"/>
    </row>
    <row r="77" spans="1:8" x14ac:dyDescent="0.25">
      <c r="A77" s="30">
        <v>46036</v>
      </c>
      <c r="B77" s="27">
        <v>2419</v>
      </c>
      <c r="C77" s="27">
        <v>58064</v>
      </c>
      <c r="D77" s="27" t="s">
        <v>42</v>
      </c>
      <c r="E77" s="42"/>
      <c r="F77" s="42">
        <v>25</v>
      </c>
      <c r="G77" s="42">
        <f t="shared" ref="G77:G84" si="7">G76+E77-F77</f>
        <v>187.5</v>
      </c>
      <c r="H77" s="27"/>
    </row>
    <row r="78" spans="1:8" x14ac:dyDescent="0.25">
      <c r="A78" s="30">
        <v>46039</v>
      </c>
      <c r="B78" s="27"/>
      <c r="C78" s="27"/>
      <c r="D78" s="27" t="s">
        <v>36</v>
      </c>
      <c r="E78" s="42"/>
      <c r="F78" s="42">
        <v>1.5</v>
      </c>
      <c r="G78" s="42">
        <f t="shared" si="7"/>
        <v>186</v>
      </c>
      <c r="H78" s="27"/>
    </row>
    <row r="79" spans="1:8" x14ac:dyDescent="0.25">
      <c r="A79" s="34">
        <v>46040</v>
      </c>
      <c r="B79" s="36"/>
      <c r="C79" s="36"/>
      <c r="D79" s="36" t="s">
        <v>13</v>
      </c>
      <c r="E79" s="98"/>
      <c r="F79" s="98">
        <v>20</v>
      </c>
      <c r="G79" s="98">
        <f t="shared" si="7"/>
        <v>166</v>
      </c>
      <c r="H79" s="36"/>
    </row>
    <row r="80" spans="1:8" x14ac:dyDescent="0.25">
      <c r="A80" s="34">
        <v>46043</v>
      </c>
      <c r="B80" s="36"/>
      <c r="C80" s="36"/>
      <c r="D80" s="36" t="s">
        <v>318</v>
      </c>
      <c r="E80" s="98"/>
      <c r="F80" s="98">
        <v>1</v>
      </c>
      <c r="G80" s="98">
        <f t="shared" si="7"/>
        <v>165</v>
      </c>
      <c r="H80" s="36"/>
    </row>
    <row r="81" spans="1:8" x14ac:dyDescent="0.25">
      <c r="A81" s="30">
        <v>46051</v>
      </c>
      <c r="B81" s="27"/>
      <c r="C81" s="27"/>
      <c r="D81" s="27" t="s">
        <v>177</v>
      </c>
      <c r="E81" s="42"/>
      <c r="F81" s="42">
        <v>7</v>
      </c>
      <c r="G81" s="42">
        <f t="shared" si="7"/>
        <v>158</v>
      </c>
      <c r="H81" s="27"/>
    </row>
    <row r="82" spans="1:8" x14ac:dyDescent="0.25">
      <c r="A82" s="30">
        <v>46055</v>
      </c>
      <c r="B82" s="27"/>
      <c r="C82" s="27"/>
      <c r="D82" s="27" t="s">
        <v>287</v>
      </c>
      <c r="E82" s="42"/>
      <c r="F82" s="42">
        <v>3</v>
      </c>
      <c r="G82" s="42">
        <f t="shared" si="7"/>
        <v>155</v>
      </c>
      <c r="H82" s="27"/>
    </row>
    <row r="83" spans="1:8" x14ac:dyDescent="0.25">
      <c r="A83" s="30">
        <v>46061</v>
      </c>
      <c r="B83" s="27"/>
      <c r="C83" s="27"/>
      <c r="D83" s="27" t="s">
        <v>17</v>
      </c>
      <c r="E83" s="42"/>
      <c r="F83" s="42">
        <v>9</v>
      </c>
      <c r="G83" s="42">
        <f t="shared" si="7"/>
        <v>146</v>
      </c>
      <c r="H83" s="27"/>
    </row>
    <row r="84" spans="1:8" x14ac:dyDescent="0.25">
      <c r="A84" s="30">
        <v>46073</v>
      </c>
      <c r="B84" s="27"/>
      <c r="C84" s="27"/>
      <c r="D84" s="27" t="s">
        <v>354</v>
      </c>
      <c r="E84" s="42"/>
      <c r="F84" s="42">
        <v>1</v>
      </c>
      <c r="G84" s="42">
        <f t="shared" si="7"/>
        <v>145</v>
      </c>
      <c r="H84" s="27"/>
    </row>
    <row r="85" spans="1:8" x14ac:dyDescent="0.25">
      <c r="A85" s="30">
        <v>46073</v>
      </c>
      <c r="B85" s="27"/>
      <c r="C85" s="27"/>
      <c r="D85" s="27" t="s">
        <v>357</v>
      </c>
      <c r="E85" s="42"/>
      <c r="F85" s="42">
        <v>0.5</v>
      </c>
      <c r="G85" s="42">
        <f t="shared" ref="G85:G92" si="8">G84+E85-F85</f>
        <v>144.5</v>
      </c>
      <c r="H85" s="27"/>
    </row>
    <row r="86" spans="1:8" x14ac:dyDescent="0.25">
      <c r="A86" s="30">
        <v>46078</v>
      </c>
      <c r="B86" s="27"/>
      <c r="C86" s="27"/>
      <c r="D86" s="27" t="s">
        <v>82</v>
      </c>
      <c r="E86" s="42"/>
      <c r="F86" s="42">
        <v>3</v>
      </c>
      <c r="G86" s="42">
        <f t="shared" si="8"/>
        <v>141.5</v>
      </c>
      <c r="H86" s="27"/>
    </row>
    <row r="87" spans="1:8" x14ac:dyDescent="0.25">
      <c r="A87" s="30">
        <v>46083</v>
      </c>
      <c r="B87" s="27"/>
      <c r="C87" s="27"/>
      <c r="D87" s="27" t="s">
        <v>366</v>
      </c>
      <c r="E87" s="42"/>
      <c r="F87" s="42">
        <v>6</v>
      </c>
      <c r="G87" s="42">
        <f t="shared" si="8"/>
        <v>135.5</v>
      </c>
      <c r="H87" s="27"/>
    </row>
    <row r="88" spans="1:8" x14ac:dyDescent="0.25">
      <c r="A88" s="30">
        <v>46085</v>
      </c>
      <c r="B88" s="27"/>
      <c r="C88" s="27"/>
      <c r="D88" s="27" t="s">
        <v>13</v>
      </c>
      <c r="E88" s="42"/>
      <c r="F88" s="42">
        <v>10</v>
      </c>
      <c r="G88" s="42">
        <f t="shared" si="8"/>
        <v>125.5</v>
      </c>
      <c r="H88" s="27"/>
    </row>
    <row r="89" spans="1:8" x14ac:dyDescent="0.25">
      <c r="A89" s="30">
        <v>46086</v>
      </c>
      <c r="B89" s="27"/>
      <c r="C89" s="27"/>
      <c r="D89" s="27" t="s">
        <v>13</v>
      </c>
      <c r="E89" s="42"/>
      <c r="F89" s="42">
        <v>30</v>
      </c>
      <c r="G89" s="42">
        <f t="shared" si="8"/>
        <v>95.5</v>
      </c>
      <c r="H89" s="27"/>
    </row>
    <row r="90" spans="1:8" x14ac:dyDescent="0.25">
      <c r="A90" s="30">
        <v>46105</v>
      </c>
      <c r="B90" s="27"/>
      <c r="C90" s="27"/>
      <c r="D90" s="27" t="s">
        <v>61</v>
      </c>
      <c r="E90" s="42"/>
      <c r="F90" s="42">
        <v>14</v>
      </c>
      <c r="G90" s="42">
        <f t="shared" si="8"/>
        <v>81.5</v>
      </c>
      <c r="H90" s="27"/>
    </row>
    <row r="91" spans="1:8" x14ac:dyDescent="0.25">
      <c r="A91" s="30">
        <v>46105</v>
      </c>
      <c r="B91" s="27"/>
      <c r="C91" s="27"/>
      <c r="D91" s="97" t="s">
        <v>57</v>
      </c>
      <c r="F91" s="99">
        <v>4</v>
      </c>
      <c r="G91" s="42">
        <f t="shared" si="8"/>
        <v>77.5</v>
      </c>
      <c r="H91" s="27"/>
    </row>
    <row r="92" spans="1:8" x14ac:dyDescent="0.25">
      <c r="A92" s="30">
        <v>46108</v>
      </c>
      <c r="B92" s="27"/>
      <c r="C92" s="27"/>
      <c r="D92" s="27" t="s">
        <v>20</v>
      </c>
      <c r="E92" s="42"/>
      <c r="F92" s="42">
        <v>1</v>
      </c>
      <c r="G92" s="42">
        <f t="shared" si="8"/>
        <v>76.5</v>
      </c>
      <c r="H92" s="27"/>
    </row>
    <row r="93" spans="1:8" x14ac:dyDescent="0.25">
      <c r="A93" s="30">
        <v>46112</v>
      </c>
      <c r="B93" s="27"/>
      <c r="C93" s="27"/>
      <c r="D93" s="27" t="s">
        <v>61</v>
      </c>
      <c r="E93" s="42"/>
      <c r="F93" s="42">
        <v>15</v>
      </c>
      <c r="G93" s="42">
        <f t="shared" ref="G93:G102" si="9">G92+E93-F93</f>
        <v>61.5</v>
      </c>
      <c r="H93" s="27"/>
    </row>
    <row r="94" spans="1:8" x14ac:dyDescent="0.25">
      <c r="A94" s="30">
        <v>46115</v>
      </c>
      <c r="B94" s="27"/>
      <c r="C94" s="27"/>
      <c r="D94" s="27" t="s">
        <v>379</v>
      </c>
      <c r="E94" s="42"/>
      <c r="F94" s="42">
        <v>0.5</v>
      </c>
      <c r="G94" s="42">
        <f t="shared" si="9"/>
        <v>61</v>
      </c>
      <c r="H94" s="27"/>
    </row>
    <row r="95" spans="1:8" x14ac:dyDescent="0.25">
      <c r="A95" s="30">
        <v>46138</v>
      </c>
      <c r="B95" s="27"/>
      <c r="C95" s="27"/>
      <c r="D95" s="27" t="s">
        <v>403</v>
      </c>
      <c r="E95" s="42"/>
      <c r="F95" s="42">
        <v>2</v>
      </c>
      <c r="G95" s="42">
        <f t="shared" si="9"/>
        <v>59</v>
      </c>
      <c r="H95" s="27"/>
    </row>
    <row r="96" spans="1:8" x14ac:dyDescent="0.25">
      <c r="A96" s="30">
        <v>46146</v>
      </c>
      <c r="B96" s="27"/>
      <c r="C96" s="27"/>
      <c r="D96" s="27" t="s">
        <v>13</v>
      </c>
      <c r="E96" s="42"/>
      <c r="F96" s="42">
        <v>20</v>
      </c>
      <c r="G96" s="42">
        <f t="shared" si="9"/>
        <v>39</v>
      </c>
      <c r="H96" s="27"/>
    </row>
    <row r="97" spans="1:12" x14ac:dyDescent="0.25">
      <c r="A97" s="30">
        <v>46151</v>
      </c>
      <c r="B97" s="27"/>
      <c r="C97" s="27"/>
      <c r="D97" s="27" t="s">
        <v>320</v>
      </c>
      <c r="E97" s="42"/>
      <c r="F97" s="42">
        <v>0.5</v>
      </c>
      <c r="G97" s="42">
        <f t="shared" si="9"/>
        <v>38.5</v>
      </c>
      <c r="H97" s="27"/>
    </row>
    <row r="98" spans="1:12" x14ac:dyDescent="0.25">
      <c r="A98" s="30">
        <v>46153</v>
      </c>
      <c r="B98" s="27"/>
      <c r="C98" s="27"/>
      <c r="D98" s="27" t="s">
        <v>345</v>
      </c>
      <c r="E98" s="42"/>
      <c r="F98" s="42">
        <v>1</v>
      </c>
      <c r="G98" s="42">
        <f t="shared" si="9"/>
        <v>37.5</v>
      </c>
      <c r="H98" s="27"/>
      <c r="L98" s="31" t="s">
        <v>393</v>
      </c>
    </row>
    <row r="99" spans="1:12" x14ac:dyDescent="0.25">
      <c r="A99" s="30">
        <v>46157</v>
      </c>
      <c r="B99" s="27"/>
      <c r="C99" s="27"/>
      <c r="D99" s="27" t="s">
        <v>210</v>
      </c>
      <c r="E99" s="42"/>
      <c r="F99" s="42">
        <v>0.5</v>
      </c>
      <c r="G99" s="42">
        <f t="shared" si="9"/>
        <v>37</v>
      </c>
      <c r="H99" s="27"/>
    </row>
    <row r="100" spans="1:12" x14ac:dyDescent="0.25">
      <c r="A100" s="30">
        <v>46157</v>
      </c>
      <c r="B100" s="27"/>
      <c r="C100" s="27"/>
      <c r="D100" s="27" t="s">
        <v>490</v>
      </c>
      <c r="E100" s="42"/>
      <c r="F100" s="42">
        <v>3</v>
      </c>
      <c r="G100" s="42">
        <f t="shared" si="9"/>
        <v>34</v>
      </c>
      <c r="H100" s="27"/>
    </row>
    <row r="101" spans="1:12" x14ac:dyDescent="0.25">
      <c r="A101" s="27"/>
      <c r="B101" s="27"/>
      <c r="C101" s="27"/>
      <c r="D101" s="27"/>
      <c r="E101" s="42"/>
      <c r="F101" s="42"/>
      <c r="G101" s="42">
        <f t="shared" si="9"/>
        <v>34</v>
      </c>
      <c r="H101" s="27"/>
    </row>
    <row r="102" spans="1:12" x14ac:dyDescent="0.25">
      <c r="A102" s="27"/>
      <c r="B102" s="27"/>
      <c r="C102" s="27"/>
      <c r="D102" s="27"/>
      <c r="E102" s="42"/>
      <c r="F102" s="42"/>
      <c r="G102" s="42">
        <f t="shared" si="9"/>
        <v>34</v>
      </c>
      <c r="H102" s="27"/>
    </row>
    <row r="103" spans="1:12" x14ac:dyDescent="0.25">
      <c r="A103" s="27"/>
      <c r="B103" s="27"/>
      <c r="C103" s="27"/>
      <c r="D103" s="27"/>
      <c r="E103" s="42"/>
      <c r="F103" s="42"/>
      <c r="G103" s="42">
        <f t="shared" ref="G103:G110" si="10">G102+E103-F103</f>
        <v>34</v>
      </c>
      <c r="H103" s="27"/>
    </row>
    <row r="104" spans="1:12" x14ac:dyDescent="0.25">
      <c r="A104" s="27"/>
      <c r="B104" s="27"/>
      <c r="C104" s="27"/>
      <c r="D104" s="27"/>
      <c r="E104" s="42"/>
      <c r="F104" s="42"/>
      <c r="G104" s="42">
        <f t="shared" si="10"/>
        <v>34</v>
      </c>
      <c r="H104" s="27"/>
    </row>
    <row r="105" spans="1:12" x14ac:dyDescent="0.25">
      <c r="A105" s="27"/>
      <c r="B105" s="27"/>
      <c r="C105" s="27"/>
      <c r="D105" s="27"/>
      <c r="E105" s="42"/>
      <c r="F105" s="42"/>
      <c r="G105" s="42">
        <f t="shared" si="10"/>
        <v>34</v>
      </c>
      <c r="H105" s="27"/>
    </row>
    <row r="106" spans="1:12" x14ac:dyDescent="0.25">
      <c r="A106" s="27"/>
      <c r="B106" s="27"/>
      <c r="C106" s="27"/>
      <c r="D106" s="27"/>
      <c r="E106" s="42"/>
      <c r="F106" s="42"/>
      <c r="G106" s="42">
        <f t="shared" si="10"/>
        <v>34</v>
      </c>
      <c r="H106" s="27"/>
    </row>
    <row r="107" spans="1:12" x14ac:dyDescent="0.25">
      <c r="A107" s="27"/>
      <c r="B107" s="27"/>
      <c r="C107" s="27"/>
      <c r="D107" s="27"/>
      <c r="E107" s="42"/>
      <c r="F107" s="42"/>
      <c r="G107" s="42">
        <f t="shared" si="10"/>
        <v>34</v>
      </c>
      <c r="H107" s="27"/>
    </row>
    <row r="108" spans="1:12" x14ac:dyDescent="0.25">
      <c r="A108" s="27"/>
      <c r="B108" s="27"/>
      <c r="C108" s="27"/>
      <c r="D108" s="27"/>
      <c r="E108" s="42"/>
      <c r="F108" s="42"/>
      <c r="G108" s="42">
        <f t="shared" si="10"/>
        <v>34</v>
      </c>
      <c r="H108" s="27"/>
    </row>
    <row r="109" spans="1:12" x14ac:dyDescent="0.25">
      <c r="A109" s="27"/>
      <c r="B109" s="27"/>
      <c r="C109" s="27"/>
      <c r="D109" s="27"/>
      <c r="E109" s="42"/>
      <c r="F109" s="42"/>
      <c r="G109" s="42">
        <f t="shared" si="10"/>
        <v>34</v>
      </c>
      <c r="H109" s="27"/>
    </row>
    <row r="110" spans="1:12" x14ac:dyDescent="0.25">
      <c r="A110" s="27"/>
      <c r="B110" s="27"/>
      <c r="C110" s="27"/>
      <c r="D110" s="27"/>
      <c r="E110" s="42"/>
      <c r="F110" s="42"/>
      <c r="G110" s="42">
        <f t="shared" si="10"/>
        <v>34</v>
      </c>
      <c r="H110" s="27"/>
    </row>
    <row r="111" spans="1:12" x14ac:dyDescent="0.25">
      <c r="A111" s="27"/>
      <c r="B111" s="27"/>
      <c r="C111" s="27"/>
      <c r="D111" s="27"/>
      <c r="E111" s="42"/>
      <c r="F111" s="42"/>
      <c r="G111" s="42">
        <f t="shared" ref="G111:G115" si="11">G110+E111-F111</f>
        <v>34</v>
      </c>
      <c r="H111" s="27"/>
    </row>
    <row r="112" spans="1:12" x14ac:dyDescent="0.25">
      <c r="A112" s="27"/>
      <c r="B112" s="27"/>
      <c r="C112" s="27"/>
      <c r="D112" s="27"/>
      <c r="E112" s="42"/>
      <c r="F112" s="42"/>
      <c r="G112" s="42">
        <f t="shared" si="11"/>
        <v>34</v>
      </c>
      <c r="H112" s="27"/>
    </row>
    <row r="113" spans="1:8" x14ac:dyDescent="0.25">
      <c r="A113" s="27"/>
      <c r="B113" s="27"/>
      <c r="C113" s="27"/>
      <c r="D113" s="27"/>
      <c r="E113" s="42"/>
      <c r="F113" s="42"/>
      <c r="G113" s="42">
        <f t="shared" si="11"/>
        <v>34</v>
      </c>
      <c r="H113" s="27"/>
    </row>
    <row r="114" spans="1:8" x14ac:dyDescent="0.25">
      <c r="A114" s="27"/>
      <c r="B114" s="27"/>
      <c r="C114" s="27"/>
      <c r="D114" s="27"/>
      <c r="E114" s="42"/>
      <c r="F114" s="42"/>
      <c r="G114" s="42">
        <f t="shared" si="11"/>
        <v>34</v>
      </c>
      <c r="H114" s="27"/>
    </row>
    <row r="115" spans="1:8" x14ac:dyDescent="0.25">
      <c r="A115" s="27"/>
      <c r="B115" s="27"/>
      <c r="C115" s="27"/>
      <c r="D115" s="27"/>
      <c r="E115" s="42"/>
      <c r="F115" s="42"/>
      <c r="G115" s="42">
        <f t="shared" si="11"/>
        <v>34</v>
      </c>
      <c r="H115" s="27"/>
    </row>
  </sheetData>
  <autoFilter ref="A6:H84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opLeftCell="A12" workbookViewId="0">
      <selection activeCell="D29" sqref="D29"/>
    </sheetView>
  </sheetViews>
  <sheetFormatPr defaultRowHeight="15" x14ac:dyDescent="0.25"/>
  <cols>
    <col min="1" max="3" width="9.140625" style="31"/>
    <col min="4" max="4" width="27" style="31" customWidth="1"/>
    <col min="5" max="5" width="11.28515625" style="44" bestFit="1" customWidth="1"/>
    <col min="6" max="6" width="10" style="44" bestFit="1" customWidth="1"/>
    <col min="7" max="7" width="11.28515625" style="44" bestFit="1" customWidth="1"/>
    <col min="8" max="16384" width="9.140625" style="31"/>
  </cols>
  <sheetData>
    <row r="1" spans="1:10" x14ac:dyDescent="0.25">
      <c r="A1" s="31" t="s">
        <v>0</v>
      </c>
    </row>
    <row r="2" spans="1:10" x14ac:dyDescent="0.25">
      <c r="A2" s="31" t="s">
        <v>1</v>
      </c>
    </row>
    <row r="3" spans="1:10" x14ac:dyDescent="0.25">
      <c r="A3" s="31" t="s">
        <v>2</v>
      </c>
    </row>
    <row r="4" spans="1:10" x14ac:dyDescent="0.25">
      <c r="A4" s="31" t="s">
        <v>218</v>
      </c>
    </row>
    <row r="6" spans="1:10" ht="16.5" x14ac:dyDescent="0.25">
      <c r="A6" s="59" t="s">
        <v>4</v>
      </c>
      <c r="B6" s="59" t="s">
        <v>6</v>
      </c>
      <c r="C6" s="59" t="s">
        <v>5</v>
      </c>
      <c r="D6" s="59" t="s">
        <v>7</v>
      </c>
      <c r="E6" s="62" t="s">
        <v>8</v>
      </c>
      <c r="F6" s="62" t="s">
        <v>9</v>
      </c>
      <c r="G6" s="62" t="s">
        <v>10</v>
      </c>
      <c r="H6" s="59" t="s">
        <v>11</v>
      </c>
    </row>
    <row r="7" spans="1:10" ht="16.5" x14ac:dyDescent="0.25">
      <c r="A7" s="74">
        <v>45961</v>
      </c>
      <c r="B7" s="72"/>
      <c r="C7" s="72"/>
      <c r="D7" s="72"/>
      <c r="E7" s="73">
        <v>210</v>
      </c>
      <c r="F7" s="73"/>
      <c r="G7" s="73">
        <f>E7</f>
        <v>210</v>
      </c>
      <c r="H7" s="72"/>
    </row>
    <row r="8" spans="1:10" ht="16.5" x14ac:dyDescent="0.25">
      <c r="A8" s="60">
        <v>45962</v>
      </c>
      <c r="B8" s="59"/>
      <c r="C8" s="59"/>
      <c r="D8" s="59" t="s">
        <v>213</v>
      </c>
      <c r="E8" s="62"/>
      <c r="F8" s="62">
        <v>1</v>
      </c>
      <c r="G8" s="62">
        <f>G7+E8-F8</f>
        <v>209</v>
      </c>
      <c r="H8" s="59"/>
    </row>
    <row r="9" spans="1:10" ht="16.5" x14ac:dyDescent="0.25">
      <c r="A9" s="60">
        <v>46366</v>
      </c>
      <c r="B9" s="59"/>
      <c r="C9" s="59"/>
      <c r="D9" s="59" t="s">
        <v>250</v>
      </c>
      <c r="E9" s="62"/>
      <c r="F9" s="62">
        <v>15</v>
      </c>
      <c r="G9" s="62">
        <f>G8+E9-F9</f>
        <v>194</v>
      </c>
      <c r="H9" s="59"/>
    </row>
    <row r="10" spans="1:10" ht="16.5" x14ac:dyDescent="0.25">
      <c r="A10" s="60">
        <v>46007</v>
      </c>
      <c r="B10" s="59"/>
      <c r="C10" s="59"/>
      <c r="D10" s="59" t="s">
        <v>263</v>
      </c>
      <c r="E10" s="62"/>
      <c r="F10" s="62">
        <v>15</v>
      </c>
      <c r="G10" s="62">
        <f>G9+E10-F10</f>
        <v>179</v>
      </c>
      <c r="H10" s="59"/>
    </row>
    <row r="11" spans="1:10" ht="16.5" x14ac:dyDescent="0.25">
      <c r="A11" s="75">
        <v>46017</v>
      </c>
      <c r="B11" s="78"/>
      <c r="C11" s="78"/>
      <c r="D11" s="78" t="s">
        <v>61</v>
      </c>
      <c r="E11" s="80"/>
      <c r="F11" s="80">
        <v>26</v>
      </c>
      <c r="G11" s="62">
        <f>G10+E11-F11</f>
        <v>153</v>
      </c>
      <c r="H11" s="78"/>
    </row>
    <row r="12" spans="1:10" ht="16.5" x14ac:dyDescent="0.25">
      <c r="A12" s="60">
        <v>46018</v>
      </c>
      <c r="B12" s="59"/>
      <c r="C12" s="59"/>
      <c r="D12" s="59" t="s">
        <v>157</v>
      </c>
      <c r="E12" s="62"/>
      <c r="F12" s="62">
        <v>9</v>
      </c>
      <c r="G12" s="62">
        <f>G11+E12-F12</f>
        <v>144</v>
      </c>
      <c r="H12" s="59"/>
    </row>
    <row r="13" spans="1:10" ht="16.5" x14ac:dyDescent="0.25">
      <c r="A13" s="75">
        <v>46020</v>
      </c>
      <c r="B13" s="78"/>
      <c r="C13" s="78"/>
      <c r="D13" s="78" t="s">
        <v>288</v>
      </c>
      <c r="E13" s="80"/>
      <c r="F13" s="80">
        <v>8</v>
      </c>
      <c r="G13" s="80">
        <f t="shared" ref="G13:G62" si="0">G12+E13-F13</f>
        <v>136</v>
      </c>
      <c r="H13" s="78"/>
    </row>
    <row r="14" spans="1:10" ht="16.5" x14ac:dyDescent="0.25">
      <c r="A14" s="60">
        <v>46020</v>
      </c>
      <c r="B14" s="59"/>
      <c r="C14" s="59"/>
      <c r="D14" s="59" t="s">
        <v>93</v>
      </c>
      <c r="E14" s="62"/>
      <c r="F14" s="62">
        <v>7</v>
      </c>
      <c r="G14" s="62">
        <f t="shared" si="0"/>
        <v>129</v>
      </c>
      <c r="H14" s="59"/>
    </row>
    <row r="15" spans="1:10" ht="16.5" x14ac:dyDescent="0.25">
      <c r="A15" s="60">
        <v>6</v>
      </c>
      <c r="B15" s="59"/>
      <c r="C15" s="59"/>
      <c r="D15" s="59" t="s">
        <v>246</v>
      </c>
      <c r="E15" s="62"/>
      <c r="F15" s="62">
        <v>5</v>
      </c>
      <c r="G15" s="62">
        <f t="shared" si="0"/>
        <v>124</v>
      </c>
      <c r="H15" s="59"/>
    </row>
    <row r="16" spans="1:10" ht="16.5" x14ac:dyDescent="0.25">
      <c r="A16" s="60">
        <v>46033</v>
      </c>
      <c r="B16" s="59"/>
      <c r="C16" s="59"/>
      <c r="D16" s="59" t="s">
        <v>287</v>
      </c>
      <c r="E16" s="62"/>
      <c r="F16" s="62">
        <v>3.5</v>
      </c>
      <c r="G16" s="62">
        <f t="shared" si="0"/>
        <v>120.5</v>
      </c>
      <c r="H16" s="59"/>
      <c r="J16" s="31" t="s">
        <v>216</v>
      </c>
    </row>
    <row r="17" spans="1:8" ht="16.5" x14ac:dyDescent="0.25">
      <c r="A17" s="60">
        <v>46035</v>
      </c>
      <c r="B17" s="59"/>
      <c r="C17" s="59"/>
      <c r="D17" s="59" t="s">
        <v>307</v>
      </c>
      <c r="E17" s="62"/>
      <c r="F17" s="62">
        <v>5</v>
      </c>
      <c r="G17" s="62">
        <f t="shared" si="0"/>
        <v>115.5</v>
      </c>
      <c r="H17" s="59"/>
    </row>
    <row r="18" spans="1:8" ht="16.5" x14ac:dyDescent="0.25">
      <c r="A18" s="100">
        <v>46036</v>
      </c>
      <c r="B18" s="101"/>
      <c r="C18" s="101"/>
      <c r="D18" s="101" t="s">
        <v>311</v>
      </c>
      <c r="E18" s="102"/>
      <c r="F18" s="102">
        <v>20</v>
      </c>
      <c r="G18" s="102">
        <f t="shared" si="0"/>
        <v>95.5</v>
      </c>
      <c r="H18" s="101"/>
    </row>
    <row r="19" spans="1:8" ht="16.5" x14ac:dyDescent="0.25">
      <c r="A19" s="60">
        <v>46051</v>
      </c>
      <c r="B19" s="59"/>
      <c r="C19" s="59"/>
      <c r="D19" s="59" t="s">
        <v>263</v>
      </c>
      <c r="E19" s="62"/>
      <c r="F19" s="62">
        <v>3</v>
      </c>
      <c r="G19" s="62">
        <f t="shared" si="0"/>
        <v>92.5</v>
      </c>
      <c r="H19" s="59"/>
    </row>
    <row r="20" spans="1:8" ht="16.5" x14ac:dyDescent="0.25">
      <c r="A20" s="60">
        <v>46139</v>
      </c>
      <c r="B20" s="59"/>
      <c r="C20" s="59"/>
      <c r="D20" s="59" t="s">
        <v>415</v>
      </c>
      <c r="E20" s="62"/>
      <c r="F20" s="62">
        <v>10</v>
      </c>
      <c r="G20" s="62">
        <f t="shared" si="0"/>
        <v>82.5</v>
      </c>
      <c r="H20" s="59"/>
    </row>
    <row r="21" spans="1:8" ht="16.5" x14ac:dyDescent="0.25">
      <c r="A21" s="60">
        <v>46171</v>
      </c>
      <c r="B21" s="59"/>
      <c r="C21" s="59"/>
      <c r="D21" s="59" t="s">
        <v>190</v>
      </c>
      <c r="E21" s="62"/>
      <c r="F21" s="62">
        <v>9</v>
      </c>
      <c r="G21" s="62">
        <f t="shared" si="0"/>
        <v>73.5</v>
      </c>
      <c r="H21" s="59"/>
    </row>
    <row r="22" spans="1:8" ht="16.5" x14ac:dyDescent="0.25">
      <c r="A22" s="60">
        <v>46177</v>
      </c>
      <c r="B22" s="59"/>
      <c r="C22" s="59"/>
      <c r="D22" s="59" t="s">
        <v>247</v>
      </c>
      <c r="E22" s="62"/>
      <c r="F22" s="62">
        <v>10</v>
      </c>
      <c r="G22" s="62">
        <f t="shared" si="0"/>
        <v>63.5</v>
      </c>
      <c r="H22" s="59"/>
    </row>
    <row r="23" spans="1:8" ht="16.5" x14ac:dyDescent="0.25">
      <c r="A23" s="60"/>
      <c r="B23" s="59"/>
      <c r="C23" s="59"/>
      <c r="D23" s="59"/>
      <c r="E23" s="62"/>
      <c r="F23" s="62"/>
      <c r="G23" s="62">
        <f t="shared" si="0"/>
        <v>63.5</v>
      </c>
      <c r="H23" s="59"/>
    </row>
    <row r="24" spans="1:8" ht="16.5" x14ac:dyDescent="0.25">
      <c r="A24" s="60"/>
      <c r="B24" s="59"/>
      <c r="C24" s="59"/>
      <c r="D24" s="59"/>
      <c r="E24" s="62"/>
      <c r="F24" s="62"/>
      <c r="G24" s="62">
        <f t="shared" si="0"/>
        <v>63.5</v>
      </c>
      <c r="H24" s="59"/>
    </row>
    <row r="25" spans="1:8" ht="16.5" x14ac:dyDescent="0.25">
      <c r="A25" s="60"/>
      <c r="B25" s="59"/>
      <c r="C25" s="59"/>
      <c r="D25" s="59"/>
      <c r="E25" s="62"/>
      <c r="F25" s="62"/>
      <c r="G25" s="62">
        <f t="shared" si="0"/>
        <v>63.5</v>
      </c>
      <c r="H25" s="59"/>
    </row>
    <row r="26" spans="1:8" ht="16.5" x14ac:dyDescent="0.25">
      <c r="A26" s="60"/>
      <c r="B26" s="59"/>
      <c r="C26" s="59"/>
      <c r="D26" s="59"/>
      <c r="E26" s="62"/>
      <c r="F26" s="62"/>
      <c r="G26" s="62">
        <f t="shared" si="0"/>
        <v>63.5</v>
      </c>
      <c r="H26" s="59"/>
    </row>
    <row r="27" spans="1:8" ht="16.5" x14ac:dyDescent="0.25">
      <c r="A27" s="60"/>
      <c r="B27" s="59"/>
      <c r="C27" s="59"/>
      <c r="D27" s="59"/>
      <c r="E27" s="62"/>
      <c r="F27" s="62"/>
      <c r="G27" s="62">
        <f t="shared" si="0"/>
        <v>63.5</v>
      </c>
      <c r="H27" s="59"/>
    </row>
    <row r="28" spans="1:8" ht="16.5" x14ac:dyDescent="0.25">
      <c r="A28" s="60"/>
      <c r="B28" s="59"/>
      <c r="C28" s="59"/>
      <c r="D28" s="59"/>
      <c r="E28" s="62"/>
      <c r="F28" s="62"/>
      <c r="G28" s="62">
        <f t="shared" si="0"/>
        <v>63.5</v>
      </c>
      <c r="H28" s="59"/>
    </row>
    <row r="29" spans="1:8" ht="16.5" x14ac:dyDescent="0.25">
      <c r="A29" s="60"/>
      <c r="B29" s="59"/>
      <c r="C29" s="59"/>
      <c r="D29" s="59"/>
      <c r="E29" s="62"/>
      <c r="F29" s="62"/>
      <c r="G29" s="62">
        <f t="shared" si="0"/>
        <v>63.5</v>
      </c>
      <c r="H29" s="59"/>
    </row>
    <row r="30" spans="1:8" ht="16.5" x14ac:dyDescent="0.25">
      <c r="A30" s="60"/>
      <c r="B30" s="59"/>
      <c r="C30" s="59"/>
      <c r="D30" s="59"/>
      <c r="E30" s="62"/>
      <c r="F30" s="62"/>
      <c r="G30" s="62">
        <f t="shared" si="0"/>
        <v>63.5</v>
      </c>
      <c r="H30" s="59"/>
    </row>
    <row r="31" spans="1:8" ht="16.5" x14ac:dyDescent="0.25">
      <c r="A31" s="60"/>
      <c r="B31" s="59"/>
      <c r="C31" s="59"/>
      <c r="D31" s="59"/>
      <c r="E31" s="62"/>
      <c r="F31" s="62"/>
      <c r="G31" s="62">
        <f t="shared" si="0"/>
        <v>63.5</v>
      </c>
      <c r="H31" s="59"/>
    </row>
    <row r="32" spans="1:8" ht="16.5" x14ac:dyDescent="0.25">
      <c r="A32" s="60"/>
      <c r="B32" s="59"/>
      <c r="C32" s="59"/>
      <c r="D32" s="59"/>
      <c r="E32" s="62"/>
      <c r="F32" s="62"/>
      <c r="G32" s="62">
        <f t="shared" si="0"/>
        <v>63.5</v>
      </c>
      <c r="H32" s="59"/>
    </row>
    <row r="33" spans="1:8" ht="16.5" x14ac:dyDescent="0.25">
      <c r="A33" s="74"/>
      <c r="B33" s="72"/>
      <c r="C33" s="72"/>
      <c r="D33" s="72"/>
      <c r="E33" s="73"/>
      <c r="F33" s="73"/>
      <c r="G33" s="73">
        <f t="shared" si="0"/>
        <v>63.5</v>
      </c>
      <c r="H33" s="72"/>
    </row>
    <row r="34" spans="1:8" ht="16.5" x14ac:dyDescent="0.25">
      <c r="A34" s="75"/>
      <c r="B34" s="78"/>
      <c r="C34" s="78"/>
      <c r="D34" s="78"/>
      <c r="E34" s="80"/>
      <c r="F34" s="80"/>
      <c r="G34" s="80">
        <f t="shared" si="0"/>
        <v>63.5</v>
      </c>
      <c r="H34" s="78"/>
    </row>
    <row r="35" spans="1:8" ht="16.5" x14ac:dyDescent="0.25">
      <c r="A35" s="60"/>
      <c r="B35" s="59"/>
      <c r="C35" s="59"/>
      <c r="D35" s="59"/>
      <c r="E35" s="62"/>
      <c r="F35" s="62"/>
      <c r="G35" s="73">
        <f t="shared" si="0"/>
        <v>63.5</v>
      </c>
      <c r="H35" s="59"/>
    </row>
    <row r="36" spans="1:8" ht="16.5" x14ac:dyDescent="0.25">
      <c r="A36" s="60"/>
      <c r="B36" s="59"/>
      <c r="C36" s="59"/>
      <c r="D36" s="59"/>
      <c r="E36" s="62"/>
      <c r="F36" s="62"/>
      <c r="G36" s="62">
        <f t="shared" si="0"/>
        <v>63.5</v>
      </c>
      <c r="H36" s="59"/>
    </row>
    <row r="37" spans="1:8" ht="16.5" x14ac:dyDescent="0.25">
      <c r="A37" s="60"/>
      <c r="B37" s="59"/>
      <c r="C37" s="59"/>
      <c r="D37" s="59"/>
      <c r="E37" s="62"/>
      <c r="F37" s="62"/>
      <c r="G37" s="62">
        <f t="shared" si="0"/>
        <v>63.5</v>
      </c>
      <c r="H37" s="59"/>
    </row>
    <row r="38" spans="1:8" ht="16.5" x14ac:dyDescent="0.25">
      <c r="A38" s="60"/>
      <c r="B38" s="59"/>
      <c r="C38" s="59"/>
      <c r="D38" s="59"/>
      <c r="E38" s="62"/>
      <c r="F38" s="62"/>
      <c r="G38" s="62">
        <f t="shared" si="0"/>
        <v>63.5</v>
      </c>
      <c r="H38" s="59"/>
    </row>
    <row r="39" spans="1:8" ht="16.5" x14ac:dyDescent="0.25">
      <c r="A39" s="60"/>
      <c r="B39" s="59"/>
      <c r="C39" s="59"/>
      <c r="D39" s="59"/>
      <c r="E39" s="62"/>
      <c r="F39" s="62"/>
      <c r="G39" s="62">
        <f t="shared" si="0"/>
        <v>63.5</v>
      </c>
      <c r="H39" s="59"/>
    </row>
    <row r="40" spans="1:8" ht="16.5" x14ac:dyDescent="0.25">
      <c r="A40" s="60"/>
      <c r="B40" s="59"/>
      <c r="C40" s="59"/>
      <c r="D40" s="59"/>
      <c r="E40" s="62"/>
      <c r="F40" s="62"/>
      <c r="G40" s="62">
        <f t="shared" si="0"/>
        <v>63.5</v>
      </c>
      <c r="H40" s="59"/>
    </row>
    <row r="41" spans="1:8" ht="16.5" x14ac:dyDescent="0.25">
      <c r="A41" s="60"/>
      <c r="B41" s="59"/>
      <c r="C41" s="59"/>
      <c r="D41" s="59"/>
      <c r="E41" s="62"/>
      <c r="F41" s="62"/>
      <c r="G41" s="62">
        <f t="shared" si="0"/>
        <v>63.5</v>
      </c>
      <c r="H41" s="59"/>
    </row>
    <row r="42" spans="1:8" ht="16.5" x14ac:dyDescent="0.25">
      <c r="A42" s="60"/>
      <c r="B42" s="59"/>
      <c r="C42" s="59"/>
      <c r="D42" s="59"/>
      <c r="E42" s="62"/>
      <c r="F42" s="62"/>
      <c r="G42" s="62">
        <f t="shared" si="0"/>
        <v>63.5</v>
      </c>
      <c r="H42" s="59"/>
    </row>
    <row r="43" spans="1:8" ht="16.5" x14ac:dyDescent="0.25">
      <c r="A43" s="60"/>
      <c r="B43" s="59"/>
      <c r="C43" s="59"/>
      <c r="D43" s="59"/>
      <c r="E43" s="62"/>
      <c r="F43" s="62"/>
      <c r="G43" s="62">
        <f t="shared" si="0"/>
        <v>63.5</v>
      </c>
      <c r="H43" s="59"/>
    </row>
    <row r="44" spans="1:8" ht="16.5" x14ac:dyDescent="0.25">
      <c r="A44" s="60"/>
      <c r="B44" s="59"/>
      <c r="C44" s="59"/>
      <c r="D44" s="59"/>
      <c r="E44" s="62"/>
      <c r="F44" s="62"/>
      <c r="G44" s="62">
        <f t="shared" si="0"/>
        <v>63.5</v>
      </c>
      <c r="H44" s="59"/>
    </row>
    <row r="45" spans="1:8" ht="16.5" x14ac:dyDescent="0.25">
      <c r="A45" s="60"/>
      <c r="B45" s="59"/>
      <c r="C45" s="59"/>
      <c r="D45" s="59"/>
      <c r="E45" s="62"/>
      <c r="F45" s="62"/>
      <c r="G45" s="62">
        <f t="shared" si="0"/>
        <v>63.5</v>
      </c>
      <c r="H45" s="59"/>
    </row>
    <row r="46" spans="1:8" ht="16.5" x14ac:dyDescent="0.25">
      <c r="A46" s="60"/>
      <c r="B46" s="59"/>
      <c r="C46" s="59"/>
      <c r="D46" s="59"/>
      <c r="E46" s="62"/>
      <c r="F46" s="62"/>
      <c r="G46" s="62">
        <f t="shared" si="0"/>
        <v>63.5</v>
      </c>
      <c r="H46" s="59"/>
    </row>
    <row r="47" spans="1:8" ht="16.5" x14ac:dyDescent="0.25">
      <c r="A47" s="60"/>
      <c r="B47" s="59"/>
      <c r="C47" s="59"/>
      <c r="D47" s="59"/>
      <c r="E47" s="62"/>
      <c r="F47" s="62"/>
      <c r="G47" s="62">
        <f t="shared" si="0"/>
        <v>63.5</v>
      </c>
      <c r="H47" s="59"/>
    </row>
    <row r="48" spans="1:8" ht="16.5" x14ac:dyDescent="0.25">
      <c r="A48" s="59"/>
      <c r="B48" s="59"/>
      <c r="C48" s="59"/>
      <c r="D48" s="59"/>
      <c r="E48" s="62"/>
      <c r="F48" s="62"/>
      <c r="G48" s="62">
        <f t="shared" si="0"/>
        <v>63.5</v>
      </c>
      <c r="H48" s="59"/>
    </row>
    <row r="49" spans="1:8" ht="16.5" x14ac:dyDescent="0.25">
      <c r="A49" s="59"/>
      <c r="B49" s="59"/>
      <c r="C49" s="59"/>
      <c r="D49" s="59"/>
      <c r="E49" s="62"/>
      <c r="F49" s="62"/>
      <c r="G49" s="62">
        <f t="shared" si="0"/>
        <v>63.5</v>
      </c>
      <c r="H49" s="59"/>
    </row>
    <row r="50" spans="1:8" ht="16.5" x14ac:dyDescent="0.25">
      <c r="A50" s="59"/>
      <c r="B50" s="59"/>
      <c r="C50" s="59"/>
      <c r="D50" s="59"/>
      <c r="E50" s="62"/>
      <c r="F50" s="62"/>
      <c r="G50" s="62">
        <f t="shared" si="0"/>
        <v>63.5</v>
      </c>
      <c r="H50" s="59"/>
    </row>
    <row r="51" spans="1:8" ht="16.5" x14ac:dyDescent="0.25">
      <c r="A51" s="59"/>
      <c r="B51" s="59"/>
      <c r="C51" s="59"/>
      <c r="D51" s="59" t="s">
        <v>216</v>
      </c>
      <c r="E51" s="62"/>
      <c r="F51" s="62"/>
      <c r="G51" s="62">
        <f t="shared" si="0"/>
        <v>63.5</v>
      </c>
      <c r="H51" s="59"/>
    </row>
    <row r="52" spans="1:8" ht="16.5" x14ac:dyDescent="0.25">
      <c r="A52" s="59"/>
      <c r="B52" s="59"/>
      <c r="C52" s="59"/>
      <c r="D52" s="59"/>
      <c r="E52" s="62"/>
      <c r="F52" s="62"/>
      <c r="G52" s="62">
        <f t="shared" si="0"/>
        <v>63.5</v>
      </c>
      <c r="H52" s="59"/>
    </row>
    <row r="53" spans="1:8" ht="16.5" x14ac:dyDescent="0.25">
      <c r="A53" s="59"/>
      <c r="B53" s="59"/>
      <c r="C53" s="59"/>
      <c r="D53" s="59"/>
      <c r="E53" s="62"/>
      <c r="F53" s="62"/>
      <c r="G53" s="62">
        <f t="shared" si="0"/>
        <v>63.5</v>
      </c>
      <c r="H53" s="59"/>
    </row>
    <row r="54" spans="1:8" ht="16.5" x14ac:dyDescent="0.25">
      <c r="A54" s="59"/>
      <c r="B54" s="59"/>
      <c r="C54" s="59"/>
      <c r="D54" s="59"/>
      <c r="E54" s="62"/>
      <c r="F54" s="62"/>
      <c r="G54" s="62">
        <f t="shared" si="0"/>
        <v>63.5</v>
      </c>
      <c r="H54" s="59"/>
    </row>
    <row r="55" spans="1:8" ht="16.5" x14ac:dyDescent="0.25">
      <c r="A55" s="59"/>
      <c r="B55" s="59"/>
      <c r="C55" s="59"/>
      <c r="D55" s="59"/>
      <c r="E55" s="62"/>
      <c r="F55" s="62"/>
      <c r="G55" s="62">
        <f t="shared" si="0"/>
        <v>63.5</v>
      </c>
      <c r="H55" s="59"/>
    </row>
    <row r="56" spans="1:8" ht="16.5" x14ac:dyDescent="0.25">
      <c r="A56" s="59"/>
      <c r="B56" s="59"/>
      <c r="C56" s="59"/>
      <c r="D56" s="59"/>
      <c r="E56" s="62"/>
      <c r="F56" s="62"/>
      <c r="G56" s="62">
        <f t="shared" si="0"/>
        <v>63.5</v>
      </c>
      <c r="H56" s="59"/>
    </row>
    <row r="57" spans="1:8" ht="16.5" x14ac:dyDescent="0.25">
      <c r="A57" s="59"/>
      <c r="B57" s="59"/>
      <c r="C57" s="59"/>
      <c r="D57" s="59"/>
      <c r="E57" s="62"/>
      <c r="F57" s="62"/>
      <c r="G57" s="62">
        <f t="shared" si="0"/>
        <v>63.5</v>
      </c>
      <c r="H57" s="59"/>
    </row>
    <row r="58" spans="1:8" ht="16.5" x14ac:dyDescent="0.25">
      <c r="A58" s="59"/>
      <c r="B58" s="59"/>
      <c r="C58" s="59"/>
      <c r="D58" s="59"/>
      <c r="E58" s="62"/>
      <c r="F58" s="62"/>
      <c r="G58" s="62">
        <f t="shared" si="0"/>
        <v>63.5</v>
      </c>
      <c r="H58" s="59"/>
    </row>
    <row r="59" spans="1:8" ht="16.5" x14ac:dyDescent="0.25">
      <c r="A59" s="59"/>
      <c r="B59" s="59"/>
      <c r="C59" s="59"/>
      <c r="D59" s="59"/>
      <c r="E59" s="62"/>
      <c r="F59" s="62"/>
      <c r="G59" s="62">
        <f t="shared" si="0"/>
        <v>63.5</v>
      </c>
      <c r="H59" s="59"/>
    </row>
    <row r="60" spans="1:8" ht="16.5" x14ac:dyDescent="0.25">
      <c r="A60" s="59"/>
      <c r="B60" s="59"/>
      <c r="C60" s="59"/>
      <c r="D60" s="59"/>
      <c r="E60" s="62"/>
      <c r="F60" s="62"/>
      <c r="G60" s="62">
        <f t="shared" si="0"/>
        <v>63.5</v>
      </c>
      <c r="H60" s="59"/>
    </row>
    <row r="61" spans="1:8" ht="16.5" x14ac:dyDescent="0.25">
      <c r="A61" s="59"/>
      <c r="B61" s="59"/>
      <c r="C61" s="59"/>
      <c r="D61" s="59"/>
      <c r="E61" s="62"/>
      <c r="F61" s="62"/>
      <c r="G61" s="62">
        <f t="shared" si="0"/>
        <v>63.5</v>
      </c>
      <c r="H61" s="59"/>
    </row>
    <row r="62" spans="1:8" ht="16.5" x14ac:dyDescent="0.25">
      <c r="A62" s="59"/>
      <c r="B62" s="59"/>
      <c r="C62" s="59"/>
      <c r="D62" s="59"/>
      <c r="E62" s="62"/>
      <c r="F62" s="62"/>
      <c r="G62" s="62">
        <f t="shared" si="0"/>
        <v>63.5</v>
      </c>
      <c r="H62" s="59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topLeftCell="A43" workbookViewId="0">
      <selection activeCell="G62" sqref="G62"/>
    </sheetView>
  </sheetViews>
  <sheetFormatPr defaultColWidth="11" defaultRowHeight="16.5" x14ac:dyDescent="0.25"/>
  <cols>
    <col min="1" max="1" width="11" style="57"/>
    <col min="2" max="3" width="10.28515625" style="57" customWidth="1"/>
    <col min="4" max="4" width="30.42578125" style="57" bestFit="1" customWidth="1"/>
    <col min="5" max="7" width="11" style="61"/>
    <col min="8" max="16384" width="11" style="57"/>
  </cols>
  <sheetData>
    <row r="1" spans="1:8" x14ac:dyDescent="0.25">
      <c r="A1" s="57" t="s">
        <v>0</v>
      </c>
    </row>
    <row r="2" spans="1:8" x14ac:dyDescent="0.25">
      <c r="A2" s="57" t="s">
        <v>1</v>
      </c>
    </row>
    <row r="3" spans="1:8" x14ac:dyDescent="0.25">
      <c r="A3" s="57" t="s">
        <v>2</v>
      </c>
    </row>
    <row r="4" spans="1:8" x14ac:dyDescent="0.25">
      <c r="A4" s="57" t="s">
        <v>30</v>
      </c>
    </row>
    <row r="6" spans="1:8" x14ac:dyDescent="0.25">
      <c r="A6" s="59" t="s">
        <v>4</v>
      </c>
      <c r="B6" s="59" t="s">
        <v>6</v>
      </c>
      <c r="C6" s="59" t="s">
        <v>5</v>
      </c>
      <c r="D6" s="59" t="s">
        <v>7</v>
      </c>
      <c r="E6" s="62" t="s">
        <v>8</v>
      </c>
      <c r="F6" s="62" t="s">
        <v>9</v>
      </c>
      <c r="G6" s="62" t="s">
        <v>10</v>
      </c>
      <c r="H6" s="59" t="s">
        <v>11</v>
      </c>
    </row>
    <row r="7" spans="1:8" x14ac:dyDescent="0.25">
      <c r="A7" s="59"/>
      <c r="B7" s="59"/>
      <c r="C7" s="59"/>
      <c r="D7" s="59"/>
      <c r="E7" s="62"/>
      <c r="F7" s="62"/>
      <c r="G7" s="62">
        <v>124</v>
      </c>
      <c r="H7" s="59"/>
    </row>
    <row r="8" spans="1:8" x14ac:dyDescent="0.25">
      <c r="A8" s="60">
        <v>45810</v>
      </c>
      <c r="B8" s="59"/>
      <c r="C8" s="59"/>
      <c r="D8" s="59" t="s">
        <v>13</v>
      </c>
      <c r="E8" s="62"/>
      <c r="F8" s="62">
        <v>124</v>
      </c>
      <c r="G8" s="62">
        <f>G7+E8-F8</f>
        <v>0</v>
      </c>
      <c r="H8" s="59"/>
    </row>
    <row r="9" spans="1:8" x14ac:dyDescent="0.25">
      <c r="A9" s="74">
        <v>45812</v>
      </c>
      <c r="B9" s="72"/>
      <c r="C9" s="72"/>
      <c r="D9" s="72" t="s">
        <v>16</v>
      </c>
      <c r="E9" s="73">
        <v>65</v>
      </c>
      <c r="F9" s="73"/>
      <c r="G9" s="73">
        <f t="shared" ref="G9:G16" si="0">G8+E9-F9</f>
        <v>65</v>
      </c>
      <c r="H9" s="72"/>
    </row>
    <row r="10" spans="1:8" x14ac:dyDescent="0.25">
      <c r="A10" s="60">
        <v>45816</v>
      </c>
      <c r="B10" s="59"/>
      <c r="C10" s="59"/>
      <c r="D10" s="59" t="s">
        <v>19</v>
      </c>
      <c r="E10" s="62"/>
      <c r="F10" s="62">
        <v>15</v>
      </c>
      <c r="G10" s="62">
        <f t="shared" si="0"/>
        <v>50</v>
      </c>
      <c r="H10" s="59"/>
    </row>
    <row r="11" spans="1:8" x14ac:dyDescent="0.25">
      <c r="A11" s="60">
        <v>45817</v>
      </c>
      <c r="B11" s="59"/>
      <c r="C11" s="59"/>
      <c r="D11" s="59" t="s">
        <v>17</v>
      </c>
      <c r="E11" s="62"/>
      <c r="F11" s="62">
        <v>30</v>
      </c>
      <c r="G11" s="62">
        <f t="shared" si="0"/>
        <v>20</v>
      </c>
      <c r="H11" s="59"/>
    </row>
    <row r="12" spans="1:8" x14ac:dyDescent="0.25">
      <c r="A12" s="60">
        <v>45825</v>
      </c>
      <c r="B12" s="59"/>
      <c r="C12" s="59"/>
      <c r="D12" s="59" t="s">
        <v>31</v>
      </c>
      <c r="E12" s="62"/>
      <c r="F12" s="62">
        <v>15</v>
      </c>
      <c r="G12" s="62">
        <f t="shared" si="0"/>
        <v>5</v>
      </c>
      <c r="H12" s="59"/>
    </row>
    <row r="13" spans="1:8" x14ac:dyDescent="0.25">
      <c r="A13" s="106">
        <v>45833</v>
      </c>
      <c r="B13" s="107"/>
      <c r="C13" s="107"/>
      <c r="D13" s="107" t="s">
        <v>129</v>
      </c>
      <c r="E13" s="108">
        <v>210</v>
      </c>
      <c r="F13" s="108"/>
      <c r="G13" s="108">
        <f t="shared" si="0"/>
        <v>215</v>
      </c>
      <c r="H13" s="107"/>
    </row>
    <row r="14" spans="1:8" x14ac:dyDescent="0.25">
      <c r="A14" s="60">
        <v>45833</v>
      </c>
      <c r="B14" s="59"/>
      <c r="C14" s="59"/>
      <c r="D14" s="59" t="s">
        <v>13</v>
      </c>
      <c r="E14" s="62"/>
      <c r="F14" s="62">
        <v>60</v>
      </c>
      <c r="G14" s="62">
        <f t="shared" si="0"/>
        <v>155</v>
      </c>
      <c r="H14" s="59"/>
    </row>
    <row r="15" spans="1:8" x14ac:dyDescent="0.25">
      <c r="A15" s="60">
        <v>45842</v>
      </c>
      <c r="B15" s="59"/>
      <c r="C15" s="59"/>
      <c r="D15" s="59" t="s">
        <v>78</v>
      </c>
      <c r="E15" s="62"/>
      <c r="F15" s="62">
        <v>17</v>
      </c>
      <c r="G15" s="62">
        <f t="shared" si="0"/>
        <v>138</v>
      </c>
      <c r="H15" s="59"/>
    </row>
    <row r="16" spans="1:8" x14ac:dyDescent="0.25">
      <c r="A16" s="60">
        <v>45871</v>
      </c>
      <c r="B16" s="59"/>
      <c r="C16" s="59"/>
      <c r="D16" s="59" t="s">
        <v>153</v>
      </c>
      <c r="E16" s="62"/>
      <c r="F16" s="62">
        <v>14</v>
      </c>
      <c r="G16" s="62">
        <f t="shared" si="0"/>
        <v>124</v>
      </c>
      <c r="H16" s="59"/>
    </row>
    <row r="17" spans="1:8" x14ac:dyDescent="0.25">
      <c r="A17" s="60">
        <v>45885</v>
      </c>
      <c r="B17" s="59"/>
      <c r="C17" s="59"/>
      <c r="D17" s="59" t="s">
        <v>75</v>
      </c>
      <c r="E17" s="62"/>
      <c r="F17" s="62">
        <v>16</v>
      </c>
      <c r="G17" s="62">
        <f t="shared" ref="G17:G62" si="1">G16+E17-F17</f>
        <v>108</v>
      </c>
      <c r="H17" s="59"/>
    </row>
    <row r="18" spans="1:8" x14ac:dyDescent="0.25">
      <c r="A18" s="60">
        <v>45887</v>
      </c>
      <c r="B18" s="59"/>
      <c r="C18" s="59"/>
      <c r="D18" s="59" t="s">
        <v>158</v>
      </c>
      <c r="E18" s="62"/>
      <c r="F18" s="62">
        <v>14.5</v>
      </c>
      <c r="G18" s="62">
        <f t="shared" si="1"/>
        <v>93.5</v>
      </c>
      <c r="H18" s="59"/>
    </row>
    <row r="19" spans="1:8" x14ac:dyDescent="0.25">
      <c r="A19" s="60">
        <v>45908</v>
      </c>
      <c r="B19" s="59"/>
      <c r="C19" s="59"/>
      <c r="D19" s="59" t="s">
        <v>156</v>
      </c>
      <c r="E19" s="62"/>
      <c r="F19" s="62">
        <v>14</v>
      </c>
      <c r="G19" s="62">
        <f t="shared" si="1"/>
        <v>79.5</v>
      </c>
      <c r="H19" s="59"/>
    </row>
    <row r="20" spans="1:8" x14ac:dyDescent="0.25">
      <c r="A20" s="60">
        <v>45928</v>
      </c>
      <c r="B20" s="59"/>
      <c r="C20" s="59"/>
      <c r="D20" s="59" t="s">
        <v>14</v>
      </c>
      <c r="E20" s="62"/>
      <c r="F20" s="62">
        <v>7</v>
      </c>
      <c r="G20" s="62">
        <f t="shared" si="1"/>
        <v>72.5</v>
      </c>
      <c r="H20" s="59"/>
    </row>
    <row r="21" spans="1:8" x14ac:dyDescent="0.25">
      <c r="A21" s="60">
        <v>45929</v>
      </c>
      <c r="B21" s="59"/>
      <c r="C21" s="59"/>
      <c r="D21" s="59" t="s">
        <v>18</v>
      </c>
      <c r="E21" s="62"/>
      <c r="F21" s="62">
        <v>1</v>
      </c>
      <c r="G21" s="62">
        <f t="shared" si="1"/>
        <v>71.5</v>
      </c>
      <c r="H21" s="59"/>
    </row>
    <row r="22" spans="1:8" x14ac:dyDescent="0.25">
      <c r="A22" s="60">
        <v>45929</v>
      </c>
      <c r="B22" s="59"/>
      <c r="C22" s="59"/>
      <c r="D22" s="59" t="s">
        <v>182</v>
      </c>
      <c r="E22" s="62"/>
      <c r="F22" s="62">
        <v>13</v>
      </c>
      <c r="G22" s="62">
        <f t="shared" si="1"/>
        <v>58.5</v>
      </c>
      <c r="H22" s="59"/>
    </row>
    <row r="23" spans="1:8" x14ac:dyDescent="0.25">
      <c r="A23" s="60">
        <v>45937</v>
      </c>
      <c r="B23" s="59"/>
      <c r="C23" s="59"/>
      <c r="D23" s="59" t="s">
        <v>13</v>
      </c>
      <c r="E23" s="62"/>
      <c r="F23" s="62">
        <v>20</v>
      </c>
      <c r="G23" s="62">
        <f t="shared" si="1"/>
        <v>38.5</v>
      </c>
      <c r="H23" s="59"/>
    </row>
    <row r="24" spans="1:8" x14ac:dyDescent="0.25">
      <c r="A24" s="60">
        <v>45946</v>
      </c>
      <c r="B24" s="59"/>
      <c r="C24" s="59"/>
      <c r="D24" s="59" t="s">
        <v>206</v>
      </c>
      <c r="E24" s="62"/>
      <c r="F24" s="62">
        <v>14</v>
      </c>
      <c r="G24" s="62">
        <f t="shared" si="1"/>
        <v>24.5</v>
      </c>
      <c r="H24" s="59"/>
    </row>
    <row r="25" spans="1:8" x14ac:dyDescent="0.25">
      <c r="A25" s="74">
        <v>45974</v>
      </c>
      <c r="B25" s="72"/>
      <c r="C25" s="72"/>
      <c r="D25" s="107" t="s">
        <v>129</v>
      </c>
      <c r="E25" s="73">
        <v>210</v>
      </c>
      <c r="F25" s="73"/>
      <c r="G25" s="73">
        <f t="shared" si="1"/>
        <v>234.5</v>
      </c>
      <c r="H25" s="72"/>
    </row>
    <row r="26" spans="1:8" x14ac:dyDescent="0.25">
      <c r="A26" s="60">
        <v>45974</v>
      </c>
      <c r="B26" s="59"/>
      <c r="C26" s="59"/>
      <c r="D26" s="59" t="s">
        <v>244</v>
      </c>
      <c r="E26" s="62"/>
      <c r="F26" s="62">
        <v>14</v>
      </c>
      <c r="G26" s="62">
        <f t="shared" si="1"/>
        <v>220.5</v>
      </c>
      <c r="H26" s="59"/>
    </row>
    <row r="27" spans="1:8" x14ac:dyDescent="0.25">
      <c r="A27" s="60">
        <v>45976</v>
      </c>
      <c r="B27" s="59"/>
      <c r="C27" s="59"/>
      <c r="D27" s="59" t="s">
        <v>187</v>
      </c>
      <c r="E27" s="62"/>
      <c r="F27" s="62">
        <v>17</v>
      </c>
      <c r="G27" s="62">
        <f t="shared" si="1"/>
        <v>203.5</v>
      </c>
      <c r="H27" s="59"/>
    </row>
    <row r="28" spans="1:8" x14ac:dyDescent="0.25">
      <c r="A28" s="60">
        <v>45998</v>
      </c>
      <c r="B28" s="59"/>
      <c r="C28" s="59"/>
      <c r="D28" s="59" t="s">
        <v>79</v>
      </c>
      <c r="E28" s="62"/>
      <c r="F28" s="62">
        <v>10</v>
      </c>
      <c r="G28" s="62">
        <f t="shared" si="1"/>
        <v>193.5</v>
      </c>
      <c r="H28" s="59"/>
    </row>
    <row r="29" spans="1:8" x14ac:dyDescent="0.25">
      <c r="A29" s="60">
        <v>46000</v>
      </c>
      <c r="B29" s="59"/>
      <c r="C29" s="59"/>
      <c r="D29" s="59" t="s">
        <v>17</v>
      </c>
      <c r="E29" s="62"/>
      <c r="F29" s="62">
        <v>15</v>
      </c>
      <c r="G29" s="62">
        <f t="shared" si="1"/>
        <v>178.5</v>
      </c>
      <c r="H29" s="59"/>
    </row>
    <row r="30" spans="1:8" x14ac:dyDescent="0.25">
      <c r="A30" s="60">
        <v>46001</v>
      </c>
      <c r="B30" s="59"/>
      <c r="C30" s="59"/>
      <c r="D30" s="59" t="s">
        <v>18</v>
      </c>
      <c r="E30" s="62"/>
      <c r="F30" s="62">
        <v>10</v>
      </c>
      <c r="G30" s="62">
        <f t="shared" si="1"/>
        <v>168.5</v>
      </c>
      <c r="H30" s="59"/>
    </row>
    <row r="31" spans="1:8" x14ac:dyDescent="0.25">
      <c r="A31" s="60">
        <v>46008</v>
      </c>
      <c r="B31" s="59"/>
      <c r="C31" s="59"/>
      <c r="D31" s="59" t="s">
        <v>244</v>
      </c>
      <c r="E31" s="62"/>
      <c r="F31" s="62">
        <v>2</v>
      </c>
      <c r="G31" s="62">
        <f t="shared" si="1"/>
        <v>166.5</v>
      </c>
      <c r="H31" s="59"/>
    </row>
    <row r="32" spans="1:8" x14ac:dyDescent="0.25">
      <c r="A32" s="60">
        <v>46008</v>
      </c>
      <c r="B32" s="59"/>
      <c r="C32" s="59"/>
      <c r="D32" s="59" t="s">
        <v>242</v>
      </c>
      <c r="E32" s="62"/>
      <c r="F32" s="62">
        <v>17</v>
      </c>
      <c r="G32" s="62">
        <f t="shared" si="1"/>
        <v>149.5</v>
      </c>
      <c r="H32" s="59"/>
    </row>
    <row r="33" spans="1:8" x14ac:dyDescent="0.25">
      <c r="A33" s="60">
        <v>46009</v>
      </c>
      <c r="B33" s="59"/>
      <c r="C33" s="59"/>
      <c r="D33" s="59" t="s">
        <v>247</v>
      </c>
      <c r="E33" s="62"/>
      <c r="F33" s="62">
        <v>13</v>
      </c>
      <c r="G33" s="62">
        <f t="shared" si="1"/>
        <v>136.5</v>
      </c>
      <c r="H33" s="59"/>
    </row>
    <row r="34" spans="1:8" x14ac:dyDescent="0.25">
      <c r="A34" s="60">
        <v>46012</v>
      </c>
      <c r="B34" s="59"/>
      <c r="C34" s="59"/>
      <c r="D34" s="59" t="s">
        <v>155</v>
      </c>
      <c r="E34" s="62"/>
      <c r="F34" s="62">
        <v>14</v>
      </c>
      <c r="G34" s="62">
        <f t="shared" si="1"/>
        <v>122.5</v>
      </c>
      <c r="H34" s="59"/>
    </row>
    <row r="35" spans="1:8" x14ac:dyDescent="0.25">
      <c r="A35" s="60">
        <v>46013</v>
      </c>
      <c r="B35" s="59"/>
      <c r="C35" s="59"/>
      <c r="D35" s="59" t="s">
        <v>60</v>
      </c>
      <c r="E35" s="62"/>
      <c r="F35" s="62">
        <v>15</v>
      </c>
      <c r="G35" s="62">
        <f t="shared" si="1"/>
        <v>107.5</v>
      </c>
      <c r="H35" s="59"/>
    </row>
    <row r="36" spans="1:8" ht="17.25" thickBot="1" x14ac:dyDescent="0.3">
      <c r="A36" s="109">
        <v>46013</v>
      </c>
      <c r="B36" s="110"/>
      <c r="C36" s="110"/>
      <c r="D36" s="110" t="s">
        <v>232</v>
      </c>
      <c r="E36" s="111"/>
      <c r="F36" s="111">
        <v>12</v>
      </c>
      <c r="G36" s="111">
        <f t="shared" si="1"/>
        <v>95.5</v>
      </c>
      <c r="H36" s="110"/>
    </row>
    <row r="37" spans="1:8" ht="17.25" thickBot="1" x14ac:dyDescent="0.3">
      <c r="A37" s="112">
        <v>46014</v>
      </c>
      <c r="B37" s="113"/>
      <c r="C37" s="113"/>
      <c r="D37" s="113" t="s">
        <v>272</v>
      </c>
      <c r="E37" s="114"/>
      <c r="F37" s="114">
        <v>7</v>
      </c>
      <c r="G37" s="114">
        <f t="shared" si="1"/>
        <v>88.5</v>
      </c>
      <c r="H37" s="113"/>
    </row>
    <row r="38" spans="1:8" x14ac:dyDescent="0.25">
      <c r="A38" s="115">
        <v>46015</v>
      </c>
      <c r="B38" s="116"/>
      <c r="C38" s="116"/>
      <c r="D38" s="116" t="s">
        <v>275</v>
      </c>
      <c r="E38" s="117"/>
      <c r="F38" s="117">
        <v>33</v>
      </c>
      <c r="G38" s="117">
        <f t="shared" si="1"/>
        <v>55.5</v>
      </c>
      <c r="H38" s="116"/>
    </row>
    <row r="39" spans="1:8" x14ac:dyDescent="0.25">
      <c r="A39" s="60">
        <v>46016</v>
      </c>
      <c r="B39" s="59"/>
      <c r="C39" s="59"/>
      <c r="D39" s="59" t="s">
        <v>273</v>
      </c>
      <c r="E39" s="62"/>
      <c r="F39" s="62">
        <v>15</v>
      </c>
      <c r="G39" s="62">
        <f t="shared" si="1"/>
        <v>40.5</v>
      </c>
      <c r="H39" s="59"/>
    </row>
    <row r="40" spans="1:8" x14ac:dyDescent="0.25">
      <c r="A40" s="60">
        <v>46018</v>
      </c>
      <c r="B40" s="59"/>
      <c r="C40" s="59"/>
      <c r="D40" s="59" t="s">
        <v>157</v>
      </c>
      <c r="E40" s="62"/>
      <c r="F40" s="62">
        <v>14</v>
      </c>
      <c r="G40" s="62">
        <f t="shared" si="1"/>
        <v>26.5</v>
      </c>
      <c r="H40" s="59"/>
    </row>
    <row r="41" spans="1:8" s="118" customFormat="1" x14ac:dyDescent="0.25">
      <c r="A41" s="74">
        <v>46024</v>
      </c>
      <c r="B41" s="72"/>
      <c r="C41" s="72"/>
      <c r="D41" s="72" t="s">
        <v>129</v>
      </c>
      <c r="E41" s="73">
        <v>210</v>
      </c>
      <c r="F41" s="73"/>
      <c r="G41" s="73">
        <f t="shared" si="1"/>
        <v>236.5</v>
      </c>
      <c r="H41" s="72"/>
    </row>
    <row r="42" spans="1:8" x14ac:dyDescent="0.25">
      <c r="A42" s="60">
        <v>46024</v>
      </c>
      <c r="B42" s="59"/>
      <c r="C42" s="59"/>
      <c r="D42" s="59" t="s">
        <v>288</v>
      </c>
      <c r="E42" s="62"/>
      <c r="F42" s="62">
        <v>34</v>
      </c>
      <c r="G42" s="62">
        <f t="shared" si="1"/>
        <v>202.5</v>
      </c>
      <c r="H42" s="59"/>
    </row>
    <row r="43" spans="1:8" x14ac:dyDescent="0.25">
      <c r="A43" s="60">
        <v>46036</v>
      </c>
      <c r="B43" s="59"/>
      <c r="C43" s="59"/>
      <c r="D43" s="59" t="s">
        <v>307</v>
      </c>
      <c r="E43" s="62"/>
      <c r="F43" s="62">
        <v>5</v>
      </c>
      <c r="G43" s="62">
        <f t="shared" si="1"/>
        <v>197.5</v>
      </c>
      <c r="H43" s="59"/>
    </row>
    <row r="44" spans="1:8" x14ac:dyDescent="0.25">
      <c r="A44" s="76">
        <v>46037</v>
      </c>
      <c r="B44" s="77"/>
      <c r="C44" s="77"/>
      <c r="D44" s="77" t="s">
        <v>242</v>
      </c>
      <c r="E44" s="79"/>
      <c r="F44" s="79">
        <v>15</v>
      </c>
      <c r="G44" s="79">
        <f t="shared" si="1"/>
        <v>182.5</v>
      </c>
      <c r="H44" s="77"/>
    </row>
    <row r="45" spans="1:8" x14ac:dyDescent="0.25">
      <c r="A45" s="60">
        <v>46076</v>
      </c>
      <c r="B45" s="59"/>
      <c r="C45" s="59"/>
      <c r="D45" s="59" t="s">
        <v>17</v>
      </c>
      <c r="E45" s="62"/>
      <c r="F45" s="62">
        <v>18</v>
      </c>
      <c r="G45" s="62">
        <f t="shared" si="1"/>
        <v>164.5</v>
      </c>
      <c r="H45" s="59"/>
    </row>
    <row r="46" spans="1:8" x14ac:dyDescent="0.25">
      <c r="A46" s="60">
        <v>46146</v>
      </c>
      <c r="B46" s="59"/>
      <c r="C46" s="59"/>
      <c r="D46" s="59" t="s">
        <v>13</v>
      </c>
      <c r="E46" s="62"/>
      <c r="F46" s="62">
        <v>20</v>
      </c>
      <c r="G46" s="62">
        <f t="shared" si="1"/>
        <v>144.5</v>
      </c>
      <c r="H46" s="59"/>
    </row>
    <row r="47" spans="1:8" x14ac:dyDescent="0.25">
      <c r="A47" s="60">
        <v>46151</v>
      </c>
      <c r="B47" s="59"/>
      <c r="C47" s="59"/>
      <c r="D47" s="59" t="s">
        <v>143</v>
      </c>
      <c r="E47" s="62"/>
      <c r="F47" s="62">
        <v>13</v>
      </c>
      <c r="G47" s="62">
        <f t="shared" si="1"/>
        <v>131.5</v>
      </c>
      <c r="H47" s="59"/>
    </row>
    <row r="48" spans="1:8" x14ac:dyDescent="0.25">
      <c r="A48" s="60">
        <v>46161</v>
      </c>
      <c r="B48" s="59"/>
      <c r="C48" s="59"/>
      <c r="D48" s="59" t="s">
        <v>151</v>
      </c>
      <c r="E48" s="62"/>
      <c r="F48" s="62">
        <v>4.5</v>
      </c>
      <c r="G48" s="62">
        <f t="shared" si="1"/>
        <v>127</v>
      </c>
      <c r="H48" s="59"/>
    </row>
    <row r="49" spans="1:8" x14ac:dyDescent="0.25">
      <c r="A49" s="60">
        <v>46162</v>
      </c>
      <c r="B49" s="59"/>
      <c r="C49" s="59"/>
      <c r="D49" s="59" t="s">
        <v>506</v>
      </c>
      <c r="E49" s="62"/>
      <c r="F49" s="62">
        <v>2</v>
      </c>
      <c r="G49" s="62">
        <f t="shared" si="1"/>
        <v>125</v>
      </c>
      <c r="H49" s="59"/>
    </row>
    <row r="50" spans="1:8" x14ac:dyDescent="0.25">
      <c r="A50" s="60">
        <v>46163</v>
      </c>
      <c r="B50" s="59"/>
      <c r="C50" s="59"/>
      <c r="D50" s="59" t="s">
        <v>153</v>
      </c>
      <c r="E50" s="62"/>
      <c r="F50" s="62">
        <v>1</v>
      </c>
      <c r="G50" s="62">
        <f t="shared" si="1"/>
        <v>124</v>
      </c>
      <c r="H50" s="59"/>
    </row>
    <row r="51" spans="1:8" x14ac:dyDescent="0.25">
      <c r="A51" s="59"/>
      <c r="B51" s="59"/>
      <c r="C51" s="59"/>
      <c r="D51" s="59"/>
      <c r="E51" s="62"/>
      <c r="F51" s="62"/>
      <c r="G51" s="62">
        <f t="shared" si="1"/>
        <v>124</v>
      </c>
      <c r="H51" s="59"/>
    </row>
    <row r="52" spans="1:8" x14ac:dyDescent="0.25">
      <c r="A52" s="59"/>
      <c r="B52" s="59"/>
      <c r="C52" s="59"/>
      <c r="D52" s="59"/>
      <c r="E52" s="62"/>
      <c r="F52" s="62"/>
      <c r="G52" s="62">
        <f t="shared" si="1"/>
        <v>124</v>
      </c>
      <c r="H52" s="59"/>
    </row>
    <row r="53" spans="1:8" x14ac:dyDescent="0.25">
      <c r="A53" s="59"/>
      <c r="B53" s="59"/>
      <c r="C53" s="59"/>
      <c r="D53" s="59"/>
      <c r="E53" s="62"/>
      <c r="F53" s="62"/>
      <c r="G53" s="62">
        <f t="shared" si="1"/>
        <v>124</v>
      </c>
      <c r="H53" s="59"/>
    </row>
    <row r="54" spans="1:8" x14ac:dyDescent="0.25">
      <c r="A54" s="59"/>
      <c r="B54" s="59"/>
      <c r="C54" s="59"/>
      <c r="D54" s="59"/>
      <c r="E54" s="62"/>
      <c r="F54" s="62"/>
      <c r="G54" s="62">
        <f t="shared" si="1"/>
        <v>124</v>
      </c>
      <c r="H54" s="59"/>
    </row>
    <row r="55" spans="1:8" x14ac:dyDescent="0.25">
      <c r="A55" s="59"/>
      <c r="B55" s="59"/>
      <c r="C55" s="59"/>
      <c r="D55" s="59"/>
      <c r="E55" s="62"/>
      <c r="F55" s="62"/>
      <c r="G55" s="62">
        <f t="shared" si="1"/>
        <v>124</v>
      </c>
      <c r="H55" s="59"/>
    </row>
    <row r="56" spans="1:8" x14ac:dyDescent="0.25">
      <c r="A56" s="59"/>
      <c r="B56" s="59"/>
      <c r="C56" s="59"/>
      <c r="D56" s="59"/>
      <c r="E56" s="62"/>
      <c r="F56" s="62"/>
      <c r="G56" s="62">
        <f t="shared" si="1"/>
        <v>124</v>
      </c>
      <c r="H56" s="59"/>
    </row>
    <row r="57" spans="1:8" x14ac:dyDescent="0.25">
      <c r="A57" s="59"/>
      <c r="B57" s="59"/>
      <c r="C57" s="59"/>
      <c r="D57" s="59"/>
      <c r="E57" s="62"/>
      <c r="F57" s="62"/>
      <c r="G57" s="62">
        <f t="shared" si="1"/>
        <v>124</v>
      </c>
      <c r="H57" s="59"/>
    </row>
    <row r="58" spans="1:8" x14ac:dyDescent="0.25">
      <c r="A58" s="59"/>
      <c r="B58" s="59"/>
      <c r="C58" s="59"/>
      <c r="D58" s="59"/>
      <c r="E58" s="62"/>
      <c r="F58" s="62"/>
      <c r="G58" s="62">
        <f t="shared" si="1"/>
        <v>124</v>
      </c>
      <c r="H58" s="59"/>
    </row>
    <row r="59" spans="1:8" x14ac:dyDescent="0.25">
      <c r="A59" s="59"/>
      <c r="B59" s="59"/>
      <c r="C59" s="59"/>
      <c r="D59" s="59"/>
      <c r="E59" s="62"/>
      <c r="F59" s="62"/>
      <c r="G59" s="62">
        <f t="shared" si="1"/>
        <v>124</v>
      </c>
      <c r="H59" s="59"/>
    </row>
    <row r="60" spans="1:8" x14ac:dyDescent="0.25">
      <c r="A60" s="59"/>
      <c r="B60" s="59"/>
      <c r="C60" s="59"/>
      <c r="D60" s="59"/>
      <c r="E60" s="62"/>
      <c r="F60" s="62"/>
      <c r="G60" s="62">
        <f t="shared" si="1"/>
        <v>124</v>
      </c>
      <c r="H60" s="59"/>
    </row>
    <row r="61" spans="1:8" x14ac:dyDescent="0.25">
      <c r="A61" s="59"/>
      <c r="B61" s="59"/>
      <c r="C61" s="59"/>
      <c r="D61" s="59"/>
      <c r="E61" s="62"/>
      <c r="F61" s="62"/>
      <c r="G61" s="62">
        <f t="shared" si="1"/>
        <v>124</v>
      </c>
      <c r="H61" s="59"/>
    </row>
    <row r="62" spans="1:8" x14ac:dyDescent="0.25">
      <c r="A62" s="59"/>
      <c r="B62" s="59"/>
      <c r="C62" s="59"/>
      <c r="D62" s="59"/>
      <c r="E62" s="62"/>
      <c r="F62" s="62"/>
      <c r="G62" s="62">
        <f t="shared" si="1"/>
        <v>124</v>
      </c>
      <c r="H62" s="59"/>
    </row>
    <row r="63" spans="1:8" x14ac:dyDescent="0.25">
      <c r="A63" s="59"/>
      <c r="B63" s="59"/>
      <c r="C63" s="59"/>
      <c r="D63" s="59"/>
      <c r="E63" s="62"/>
      <c r="F63" s="62"/>
      <c r="G63" s="62"/>
      <c r="H63" s="59"/>
    </row>
    <row r="64" spans="1:8" x14ac:dyDescent="0.25">
      <c r="A64" s="59"/>
      <c r="B64" s="59"/>
      <c r="C64" s="59"/>
      <c r="D64" s="59"/>
      <c r="E64" s="62"/>
      <c r="F64" s="62"/>
      <c r="G64" s="62"/>
      <c r="H64" s="59"/>
    </row>
  </sheetData>
  <autoFilter ref="A6:H44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zoomScale="106" zoomScaleNormal="106" workbookViewId="0">
      <pane ySplit="2205" topLeftCell="A177" activePane="bottomLeft"/>
      <selection activeCell="E1" sqref="E1:G1048576"/>
      <selection pane="bottomLeft" activeCell="F183" sqref="F183"/>
    </sheetView>
  </sheetViews>
  <sheetFormatPr defaultRowHeight="15" x14ac:dyDescent="0.25"/>
  <cols>
    <col min="1" max="1" width="11.140625" style="31" customWidth="1"/>
    <col min="2" max="2" width="10.7109375" style="31" customWidth="1"/>
    <col min="3" max="3" width="9.140625" style="31"/>
    <col min="4" max="4" width="27.28515625" style="31" customWidth="1"/>
    <col min="5" max="7" width="9.140625" style="44"/>
    <col min="8" max="16384" width="9.140625" style="31"/>
  </cols>
  <sheetData>
    <row r="1" spans="1:8" x14ac:dyDescent="0.25">
      <c r="A1" s="31" t="s">
        <v>0</v>
      </c>
    </row>
    <row r="2" spans="1:8" x14ac:dyDescent="0.25">
      <c r="A2" s="31" t="s">
        <v>1</v>
      </c>
    </row>
    <row r="3" spans="1:8" x14ac:dyDescent="0.25">
      <c r="A3" s="31" t="s">
        <v>2</v>
      </c>
    </row>
    <row r="4" spans="1:8" x14ac:dyDescent="0.25">
      <c r="A4" s="31" t="s">
        <v>173</v>
      </c>
    </row>
    <row r="6" spans="1:8" x14ac:dyDescent="0.25">
      <c r="A6" s="27" t="s">
        <v>4</v>
      </c>
      <c r="B6" s="27" t="s">
        <v>6</v>
      </c>
      <c r="C6" s="27" t="s">
        <v>5</v>
      </c>
      <c r="D6" s="27" t="s">
        <v>7</v>
      </c>
      <c r="E6" s="42" t="s">
        <v>8</v>
      </c>
      <c r="F6" s="42" t="s">
        <v>9</v>
      </c>
      <c r="G6" s="42" t="s">
        <v>10</v>
      </c>
      <c r="H6" s="27" t="s">
        <v>11</v>
      </c>
    </row>
    <row r="7" spans="1:8" x14ac:dyDescent="0.25">
      <c r="A7" s="39">
        <v>45809</v>
      </c>
      <c r="B7" s="27"/>
      <c r="C7" s="27"/>
      <c r="D7" s="27" t="s">
        <v>35</v>
      </c>
      <c r="E7" s="42"/>
      <c r="F7" s="42"/>
      <c r="G7" s="42">
        <v>0</v>
      </c>
      <c r="H7" s="27"/>
    </row>
    <row r="8" spans="1:8" x14ac:dyDescent="0.25">
      <c r="A8" s="119">
        <v>45811</v>
      </c>
      <c r="B8" s="103">
        <v>5141</v>
      </c>
      <c r="C8" s="103"/>
      <c r="D8" s="103" t="s">
        <v>129</v>
      </c>
      <c r="E8" s="104">
        <v>182</v>
      </c>
      <c r="F8" s="104"/>
      <c r="G8" s="104">
        <f>G7+E8-F8</f>
        <v>182</v>
      </c>
      <c r="H8" s="103"/>
    </row>
    <row r="9" spans="1:8" x14ac:dyDescent="0.25">
      <c r="A9" s="39">
        <v>45811</v>
      </c>
      <c r="B9" s="27">
        <v>1837</v>
      </c>
      <c r="C9" s="27">
        <v>2456</v>
      </c>
      <c r="D9" s="27" t="s">
        <v>42</v>
      </c>
      <c r="E9" s="42"/>
      <c r="F9" s="42">
        <v>100</v>
      </c>
      <c r="G9" s="42">
        <f t="shared" ref="G9:G16" si="0">G8+E9-F9</f>
        <v>82</v>
      </c>
      <c r="H9" s="27"/>
    </row>
    <row r="10" spans="1:8" x14ac:dyDescent="0.25">
      <c r="A10" s="39">
        <v>45812</v>
      </c>
      <c r="B10" s="27">
        <v>179993</v>
      </c>
      <c r="C10" s="27">
        <v>2457</v>
      </c>
      <c r="D10" s="27" t="s">
        <v>130</v>
      </c>
      <c r="E10" s="42"/>
      <c r="F10" s="42">
        <v>50</v>
      </c>
      <c r="G10" s="42">
        <f t="shared" si="0"/>
        <v>32</v>
      </c>
      <c r="H10" s="27"/>
    </row>
    <row r="11" spans="1:8" x14ac:dyDescent="0.25">
      <c r="A11" s="39">
        <v>45815</v>
      </c>
      <c r="B11" s="27"/>
      <c r="C11" s="27"/>
      <c r="D11" s="27" t="s">
        <v>13</v>
      </c>
      <c r="E11" s="42"/>
      <c r="F11" s="42">
        <v>10</v>
      </c>
      <c r="G11" s="42">
        <f t="shared" si="0"/>
        <v>22</v>
      </c>
      <c r="H11" s="27"/>
    </row>
    <row r="12" spans="1:8" x14ac:dyDescent="0.25">
      <c r="A12" s="39">
        <v>45820</v>
      </c>
      <c r="B12" s="27"/>
      <c r="C12" s="27"/>
      <c r="D12" s="27" t="s">
        <v>26</v>
      </c>
      <c r="E12" s="42"/>
      <c r="F12" s="42">
        <v>1</v>
      </c>
      <c r="G12" s="42">
        <f t="shared" si="0"/>
        <v>21</v>
      </c>
      <c r="H12" s="27"/>
    </row>
    <row r="13" spans="1:8" x14ac:dyDescent="0.25">
      <c r="A13" s="39">
        <v>45821</v>
      </c>
      <c r="B13" s="27">
        <v>23932</v>
      </c>
      <c r="C13" s="27">
        <v>2468</v>
      </c>
      <c r="D13" s="27" t="s">
        <v>159</v>
      </c>
      <c r="E13" s="42"/>
      <c r="F13" s="42">
        <v>20</v>
      </c>
      <c r="G13" s="42">
        <f t="shared" si="0"/>
        <v>1</v>
      </c>
      <c r="H13" s="27"/>
    </row>
    <row r="14" spans="1:8" x14ac:dyDescent="0.25">
      <c r="A14" s="119">
        <v>45822</v>
      </c>
      <c r="B14" s="103"/>
      <c r="C14" s="103"/>
      <c r="D14" s="103" t="s">
        <v>129</v>
      </c>
      <c r="E14" s="104">
        <v>182</v>
      </c>
      <c r="F14" s="104"/>
      <c r="G14" s="104">
        <f t="shared" si="0"/>
        <v>183</v>
      </c>
      <c r="H14" s="103"/>
    </row>
    <row r="15" spans="1:8" x14ac:dyDescent="0.25">
      <c r="A15" s="39">
        <v>45825</v>
      </c>
      <c r="B15" s="27">
        <v>21019</v>
      </c>
      <c r="C15" s="27">
        <v>2471</v>
      </c>
      <c r="D15" s="27" t="s">
        <v>160</v>
      </c>
      <c r="E15" s="42"/>
      <c r="F15" s="42">
        <v>5</v>
      </c>
      <c r="G15" s="42">
        <f t="shared" si="0"/>
        <v>178</v>
      </c>
      <c r="H15" s="27"/>
    </row>
    <row r="16" spans="1:8" x14ac:dyDescent="0.25">
      <c r="A16" s="39">
        <v>45825</v>
      </c>
      <c r="B16" s="27"/>
      <c r="C16" s="27"/>
      <c r="D16" s="27" t="s">
        <v>50</v>
      </c>
      <c r="E16" s="42"/>
      <c r="F16" s="42">
        <v>100</v>
      </c>
      <c r="G16" s="42">
        <f t="shared" si="0"/>
        <v>78</v>
      </c>
      <c r="H16" s="27"/>
    </row>
    <row r="17" spans="1:8" x14ac:dyDescent="0.25">
      <c r="A17" s="39">
        <v>45825</v>
      </c>
      <c r="B17" s="27"/>
      <c r="C17" s="27"/>
      <c r="D17" s="27" t="s">
        <v>13</v>
      </c>
      <c r="E17" s="42"/>
      <c r="F17" s="42">
        <v>10</v>
      </c>
      <c r="G17" s="42">
        <f t="shared" ref="G17:G25" si="1">G16+E17-F17</f>
        <v>68</v>
      </c>
      <c r="H17" s="27"/>
    </row>
    <row r="18" spans="1:8" x14ac:dyDescent="0.25">
      <c r="A18" s="39">
        <v>45836</v>
      </c>
      <c r="B18" s="27">
        <v>113602</v>
      </c>
      <c r="C18" s="27">
        <v>2495</v>
      </c>
      <c r="D18" s="27" t="s">
        <v>47</v>
      </c>
      <c r="E18" s="42"/>
      <c r="F18" s="42">
        <v>10</v>
      </c>
      <c r="G18" s="42">
        <f t="shared" si="1"/>
        <v>58</v>
      </c>
      <c r="H18" s="27"/>
    </row>
    <row r="19" spans="1:8" x14ac:dyDescent="0.25">
      <c r="A19" s="39">
        <v>45838</v>
      </c>
      <c r="B19" s="27"/>
      <c r="C19" s="27"/>
      <c r="D19" s="27" t="s">
        <v>161</v>
      </c>
      <c r="E19" s="42"/>
      <c r="F19" s="42">
        <v>2</v>
      </c>
      <c r="G19" s="42">
        <f t="shared" si="1"/>
        <v>56</v>
      </c>
      <c r="H19" s="27"/>
    </row>
    <row r="20" spans="1:8" x14ac:dyDescent="0.25">
      <c r="A20" s="39">
        <v>45839</v>
      </c>
      <c r="B20" s="27"/>
      <c r="C20" s="27"/>
      <c r="D20" s="27" t="s">
        <v>42</v>
      </c>
      <c r="E20" s="42"/>
      <c r="F20" s="42">
        <v>10</v>
      </c>
      <c r="G20" s="42">
        <f t="shared" si="1"/>
        <v>46</v>
      </c>
      <c r="H20" s="27"/>
    </row>
    <row r="21" spans="1:8" x14ac:dyDescent="0.25">
      <c r="A21" s="39">
        <v>45840</v>
      </c>
      <c r="B21" s="27">
        <v>23117</v>
      </c>
      <c r="C21" s="27">
        <v>31859</v>
      </c>
      <c r="D21" s="27" t="s">
        <v>159</v>
      </c>
      <c r="E21" s="42"/>
      <c r="F21" s="42">
        <v>15</v>
      </c>
      <c r="G21" s="42">
        <f t="shared" si="1"/>
        <v>31</v>
      </c>
      <c r="H21" s="27"/>
    </row>
    <row r="22" spans="1:8" x14ac:dyDescent="0.25">
      <c r="A22" s="119">
        <v>45840</v>
      </c>
      <c r="B22" s="103">
        <v>7331</v>
      </c>
      <c r="C22" s="103"/>
      <c r="D22" s="103" t="s">
        <v>129</v>
      </c>
      <c r="E22" s="104">
        <v>182</v>
      </c>
      <c r="F22" s="104"/>
      <c r="G22" s="104">
        <f t="shared" si="1"/>
        <v>213</v>
      </c>
      <c r="H22" s="103"/>
    </row>
    <row r="23" spans="1:8" x14ac:dyDescent="0.25">
      <c r="A23" s="39">
        <v>45841</v>
      </c>
      <c r="B23" s="27">
        <v>23177</v>
      </c>
      <c r="C23" s="27">
        <v>31861</v>
      </c>
      <c r="D23" s="27" t="s">
        <v>159</v>
      </c>
      <c r="E23" s="42"/>
      <c r="F23" s="42">
        <v>15</v>
      </c>
      <c r="G23" s="42">
        <f t="shared" si="1"/>
        <v>198</v>
      </c>
      <c r="H23" s="27"/>
    </row>
    <row r="24" spans="1:8" x14ac:dyDescent="0.25">
      <c r="A24" s="39">
        <v>45842</v>
      </c>
      <c r="B24" s="27">
        <v>1864</v>
      </c>
      <c r="C24" s="27">
        <v>31864</v>
      </c>
      <c r="D24" s="27" t="s">
        <v>149</v>
      </c>
      <c r="E24" s="42"/>
      <c r="F24" s="42">
        <v>100</v>
      </c>
      <c r="G24" s="42">
        <f t="shared" si="1"/>
        <v>98</v>
      </c>
      <c r="H24" s="27"/>
    </row>
    <row r="25" spans="1:8" x14ac:dyDescent="0.25">
      <c r="A25" s="39">
        <v>45843</v>
      </c>
      <c r="B25" s="27"/>
      <c r="C25" s="27"/>
      <c r="D25" s="27" t="s">
        <v>161</v>
      </c>
      <c r="E25" s="42"/>
      <c r="F25" s="42">
        <v>5</v>
      </c>
      <c r="G25" s="42">
        <f t="shared" si="1"/>
        <v>93</v>
      </c>
      <c r="H25" s="27"/>
    </row>
    <row r="26" spans="1:8" x14ac:dyDescent="0.25">
      <c r="A26" s="39">
        <v>45843</v>
      </c>
      <c r="B26" s="27"/>
      <c r="C26" s="27"/>
      <c r="D26" s="27" t="s">
        <v>13</v>
      </c>
      <c r="E26" s="42"/>
      <c r="F26" s="42">
        <v>10</v>
      </c>
      <c r="G26" s="42">
        <f t="shared" ref="G26:G38" si="2">G25+E26-F26</f>
        <v>83</v>
      </c>
      <c r="H26" s="27"/>
    </row>
    <row r="27" spans="1:8" x14ac:dyDescent="0.25">
      <c r="A27" s="39">
        <v>45843</v>
      </c>
      <c r="B27" s="27"/>
      <c r="C27" s="27"/>
      <c r="D27" s="27" t="s">
        <v>151</v>
      </c>
      <c r="E27" s="42"/>
      <c r="F27" s="42">
        <v>3</v>
      </c>
      <c r="G27" s="42">
        <f t="shared" si="2"/>
        <v>80</v>
      </c>
      <c r="H27" s="27"/>
    </row>
    <row r="28" spans="1:8" x14ac:dyDescent="0.25">
      <c r="A28" s="39">
        <v>45844</v>
      </c>
      <c r="B28" s="27"/>
      <c r="C28" s="27"/>
      <c r="D28" s="27" t="s">
        <v>162</v>
      </c>
      <c r="E28" s="42"/>
      <c r="F28" s="42">
        <v>15</v>
      </c>
      <c r="G28" s="42">
        <f t="shared" si="2"/>
        <v>65</v>
      </c>
      <c r="H28" s="27"/>
    </row>
    <row r="29" spans="1:8" x14ac:dyDescent="0.25">
      <c r="A29" s="39">
        <v>45846</v>
      </c>
      <c r="B29" s="27"/>
      <c r="C29" s="27"/>
      <c r="D29" s="27" t="s">
        <v>42</v>
      </c>
      <c r="E29" s="42"/>
      <c r="F29" s="42">
        <v>20</v>
      </c>
      <c r="G29" s="42">
        <f t="shared" si="2"/>
        <v>45</v>
      </c>
      <c r="H29" s="27"/>
    </row>
    <row r="30" spans="1:8" x14ac:dyDescent="0.25">
      <c r="A30" s="39">
        <v>45848</v>
      </c>
      <c r="B30" s="27"/>
      <c r="C30" s="27"/>
      <c r="D30" s="27" t="s">
        <v>108</v>
      </c>
      <c r="E30" s="42"/>
      <c r="F30" s="42">
        <v>10</v>
      </c>
      <c r="G30" s="42">
        <f t="shared" si="2"/>
        <v>35</v>
      </c>
      <c r="H30" s="27"/>
    </row>
    <row r="31" spans="1:8" x14ac:dyDescent="0.25">
      <c r="A31" s="39">
        <v>45854</v>
      </c>
      <c r="B31" s="27"/>
      <c r="C31" s="27"/>
      <c r="D31" s="27" t="s">
        <v>146</v>
      </c>
      <c r="E31" s="42"/>
      <c r="F31" s="42">
        <v>15</v>
      </c>
      <c r="G31" s="42">
        <f t="shared" si="2"/>
        <v>20</v>
      </c>
      <c r="H31" s="27"/>
    </row>
    <row r="32" spans="1:8" x14ac:dyDescent="0.25">
      <c r="A32" s="39">
        <v>45859</v>
      </c>
      <c r="B32" s="27"/>
      <c r="C32" s="27"/>
      <c r="D32" s="27" t="s">
        <v>163</v>
      </c>
      <c r="E32" s="42"/>
      <c r="F32" s="42">
        <v>5</v>
      </c>
      <c r="G32" s="42">
        <f t="shared" si="2"/>
        <v>15</v>
      </c>
      <c r="H32" s="27"/>
    </row>
    <row r="33" spans="1:8" x14ac:dyDescent="0.25">
      <c r="A33" s="119">
        <v>45860</v>
      </c>
      <c r="B33" s="103"/>
      <c r="C33" s="103"/>
      <c r="D33" s="103" t="s">
        <v>129</v>
      </c>
      <c r="E33" s="104">
        <v>182</v>
      </c>
      <c r="F33" s="104"/>
      <c r="G33" s="104">
        <f t="shared" si="2"/>
        <v>197</v>
      </c>
      <c r="H33" s="103"/>
    </row>
    <row r="34" spans="1:8" x14ac:dyDescent="0.25">
      <c r="A34" s="39">
        <v>45861</v>
      </c>
      <c r="B34" s="27"/>
      <c r="C34" s="27"/>
      <c r="D34" s="27" t="s">
        <v>69</v>
      </c>
      <c r="E34" s="42"/>
      <c r="F34" s="42">
        <v>3</v>
      </c>
      <c r="G34" s="42">
        <f t="shared" si="2"/>
        <v>194</v>
      </c>
      <c r="H34" s="27"/>
    </row>
    <row r="35" spans="1:8" x14ac:dyDescent="0.25">
      <c r="A35" s="39">
        <v>45862</v>
      </c>
      <c r="B35" s="27"/>
      <c r="C35" s="27"/>
      <c r="D35" s="27" t="s">
        <v>42</v>
      </c>
      <c r="E35" s="42"/>
      <c r="F35" s="42">
        <v>50</v>
      </c>
      <c r="G35" s="42">
        <f t="shared" si="2"/>
        <v>144</v>
      </c>
      <c r="H35" s="27"/>
    </row>
    <row r="36" spans="1:8" x14ac:dyDescent="0.25">
      <c r="A36" s="39">
        <v>45865</v>
      </c>
      <c r="B36" s="27">
        <v>113637</v>
      </c>
      <c r="C36" s="27">
        <v>31900</v>
      </c>
      <c r="D36" s="27" t="s">
        <v>47</v>
      </c>
      <c r="E36" s="42"/>
      <c r="F36" s="42">
        <v>50</v>
      </c>
      <c r="G36" s="42">
        <f t="shared" si="2"/>
        <v>94</v>
      </c>
      <c r="H36" s="27"/>
    </row>
    <row r="37" spans="1:8" x14ac:dyDescent="0.25">
      <c r="A37" s="39">
        <v>45866</v>
      </c>
      <c r="B37" s="27"/>
      <c r="C37" s="27"/>
      <c r="D37" s="27" t="s">
        <v>162</v>
      </c>
      <c r="E37" s="42"/>
      <c r="F37" s="42">
        <v>15</v>
      </c>
      <c r="G37" s="42">
        <f t="shared" si="2"/>
        <v>79</v>
      </c>
      <c r="H37" s="27"/>
    </row>
    <row r="38" spans="1:8" x14ac:dyDescent="0.25">
      <c r="A38" s="39">
        <v>45873</v>
      </c>
      <c r="B38" s="27"/>
      <c r="C38" s="27"/>
      <c r="D38" s="27" t="s">
        <v>72</v>
      </c>
      <c r="E38" s="42"/>
      <c r="F38" s="42">
        <v>5.5</v>
      </c>
      <c r="G38" s="42">
        <f t="shared" si="2"/>
        <v>73.5</v>
      </c>
      <c r="H38" s="27"/>
    </row>
    <row r="39" spans="1:8" x14ac:dyDescent="0.25">
      <c r="A39" s="119">
        <v>45875</v>
      </c>
      <c r="B39" s="103">
        <v>174518</v>
      </c>
      <c r="C39" s="103"/>
      <c r="D39" s="103" t="s">
        <v>129</v>
      </c>
      <c r="E39" s="104">
        <v>182</v>
      </c>
      <c r="F39" s="104"/>
      <c r="G39" s="104">
        <f t="shared" ref="G39:G45" si="3">G38+E39-F39</f>
        <v>255.5</v>
      </c>
      <c r="H39" s="103"/>
    </row>
    <row r="40" spans="1:8" x14ac:dyDescent="0.25">
      <c r="A40" s="39">
        <v>45875</v>
      </c>
      <c r="B40" s="27">
        <v>4797</v>
      </c>
      <c r="C40" s="27">
        <v>6430</v>
      </c>
      <c r="D40" s="27" t="s">
        <v>108</v>
      </c>
      <c r="E40" s="42"/>
      <c r="F40" s="42">
        <v>22</v>
      </c>
      <c r="G40" s="42">
        <f t="shared" si="3"/>
        <v>233.5</v>
      </c>
      <c r="H40" s="27"/>
    </row>
    <row r="41" spans="1:8" x14ac:dyDescent="0.25">
      <c r="A41" s="39">
        <v>45875</v>
      </c>
      <c r="B41" s="27">
        <v>1979</v>
      </c>
      <c r="C41" s="27">
        <v>6429</v>
      </c>
      <c r="D41" s="27" t="s">
        <v>42</v>
      </c>
      <c r="E41" s="42"/>
      <c r="F41" s="42">
        <v>60</v>
      </c>
      <c r="G41" s="42">
        <f t="shared" si="3"/>
        <v>173.5</v>
      </c>
      <c r="H41" s="27"/>
    </row>
    <row r="42" spans="1:8" x14ac:dyDescent="0.25">
      <c r="A42" s="39">
        <v>45875</v>
      </c>
      <c r="B42" s="27">
        <v>125534</v>
      </c>
      <c r="C42" s="27">
        <v>6439</v>
      </c>
      <c r="D42" s="27" t="s">
        <v>120</v>
      </c>
      <c r="E42" s="42"/>
      <c r="F42" s="42">
        <v>40</v>
      </c>
      <c r="G42" s="42">
        <f t="shared" si="3"/>
        <v>133.5</v>
      </c>
      <c r="H42" s="27"/>
    </row>
    <row r="43" spans="1:8" x14ac:dyDescent="0.25">
      <c r="A43" s="39">
        <v>45879</v>
      </c>
      <c r="B43" s="27"/>
      <c r="C43" s="27"/>
      <c r="D43" s="27" t="s">
        <v>162</v>
      </c>
      <c r="E43" s="42"/>
      <c r="F43" s="42">
        <v>15</v>
      </c>
      <c r="G43" s="42">
        <f t="shared" si="3"/>
        <v>118.5</v>
      </c>
      <c r="H43" s="27"/>
    </row>
    <row r="44" spans="1:8" x14ac:dyDescent="0.25">
      <c r="A44" s="39">
        <v>45881</v>
      </c>
      <c r="B44" s="27"/>
      <c r="C44" s="27"/>
      <c r="D44" s="27" t="s">
        <v>149</v>
      </c>
      <c r="E44" s="42"/>
      <c r="F44" s="42">
        <v>70</v>
      </c>
      <c r="G44" s="42">
        <f t="shared" si="3"/>
        <v>48.5</v>
      </c>
      <c r="H44" s="27"/>
    </row>
    <row r="45" spans="1:8" x14ac:dyDescent="0.25">
      <c r="A45" s="39">
        <v>45885</v>
      </c>
      <c r="B45" s="27">
        <v>205488</v>
      </c>
      <c r="C45" s="27">
        <v>6446</v>
      </c>
      <c r="D45" s="27" t="s">
        <v>159</v>
      </c>
      <c r="E45" s="42"/>
      <c r="F45" s="42">
        <v>25</v>
      </c>
      <c r="G45" s="42">
        <f t="shared" si="3"/>
        <v>23.5</v>
      </c>
      <c r="H45" s="27"/>
    </row>
    <row r="46" spans="1:8" x14ac:dyDescent="0.25">
      <c r="A46" s="39">
        <v>45890</v>
      </c>
      <c r="B46" s="27">
        <v>173172</v>
      </c>
      <c r="C46" s="27">
        <v>66419</v>
      </c>
      <c r="D46" s="27" t="s">
        <v>160</v>
      </c>
      <c r="E46" s="42"/>
      <c r="F46" s="42">
        <v>20</v>
      </c>
      <c r="G46" s="42">
        <f t="shared" ref="G46:G67" si="4">G45+E46-F46</f>
        <v>3.5</v>
      </c>
      <c r="H46" s="27"/>
    </row>
    <row r="47" spans="1:8" x14ac:dyDescent="0.25">
      <c r="A47" s="119">
        <v>45897</v>
      </c>
      <c r="B47" s="103">
        <v>174543</v>
      </c>
      <c r="C47" s="103"/>
      <c r="D47" s="103" t="s">
        <v>129</v>
      </c>
      <c r="E47" s="104">
        <v>182</v>
      </c>
      <c r="F47" s="104"/>
      <c r="G47" s="104">
        <f t="shared" si="4"/>
        <v>185.5</v>
      </c>
      <c r="H47" s="103"/>
    </row>
    <row r="48" spans="1:8" x14ac:dyDescent="0.25">
      <c r="A48" s="39">
        <v>45897</v>
      </c>
      <c r="B48" s="27">
        <v>113943</v>
      </c>
      <c r="C48" s="27">
        <v>66442</v>
      </c>
      <c r="D48" s="27" t="s">
        <v>163</v>
      </c>
      <c r="E48" s="42"/>
      <c r="F48" s="42">
        <v>17</v>
      </c>
      <c r="G48" s="42">
        <f t="shared" si="4"/>
        <v>168.5</v>
      </c>
      <c r="H48" s="27"/>
    </row>
    <row r="49" spans="1:8" x14ac:dyDescent="0.25">
      <c r="A49" s="39">
        <v>45897</v>
      </c>
      <c r="B49" s="27"/>
      <c r="C49" s="27"/>
      <c r="D49" s="27" t="s">
        <v>164</v>
      </c>
      <c r="E49" s="42"/>
      <c r="F49" s="42">
        <v>3.5</v>
      </c>
      <c r="G49" s="42">
        <f t="shared" si="4"/>
        <v>165</v>
      </c>
      <c r="H49" s="27"/>
    </row>
    <row r="50" spans="1:8" x14ac:dyDescent="0.25">
      <c r="A50" s="39">
        <v>45899</v>
      </c>
      <c r="B50" s="27"/>
      <c r="C50" s="27"/>
      <c r="D50" s="27" t="s">
        <v>42</v>
      </c>
      <c r="E50" s="42"/>
      <c r="F50" s="42">
        <v>20</v>
      </c>
      <c r="G50" s="42">
        <f t="shared" si="4"/>
        <v>145</v>
      </c>
      <c r="H50" s="27"/>
    </row>
    <row r="51" spans="1:8" x14ac:dyDescent="0.25">
      <c r="A51" s="39">
        <v>45902</v>
      </c>
      <c r="B51" s="27"/>
      <c r="C51" s="27"/>
      <c r="D51" s="27" t="s">
        <v>89</v>
      </c>
      <c r="E51" s="42"/>
      <c r="F51" s="42">
        <v>20</v>
      </c>
      <c r="G51" s="42">
        <f t="shared" si="4"/>
        <v>125</v>
      </c>
      <c r="H51" s="27"/>
    </row>
    <row r="52" spans="1:8" x14ac:dyDescent="0.25">
      <c r="A52" s="39">
        <v>45902</v>
      </c>
      <c r="B52" s="27">
        <v>170032</v>
      </c>
      <c r="C52" s="27">
        <v>66454</v>
      </c>
      <c r="D52" s="27" t="s">
        <v>165</v>
      </c>
      <c r="E52" s="42"/>
      <c r="F52" s="42">
        <v>5</v>
      </c>
      <c r="G52" s="42">
        <f t="shared" si="4"/>
        <v>120</v>
      </c>
      <c r="H52" s="27"/>
    </row>
    <row r="53" spans="1:8" x14ac:dyDescent="0.25">
      <c r="A53" s="39">
        <v>45905</v>
      </c>
      <c r="B53" s="27"/>
      <c r="C53" s="27"/>
      <c r="D53" s="27" t="s">
        <v>162</v>
      </c>
      <c r="E53" s="42"/>
      <c r="F53" s="42">
        <v>10</v>
      </c>
      <c r="G53" s="42">
        <f t="shared" si="4"/>
        <v>110</v>
      </c>
      <c r="H53" s="27"/>
    </row>
    <row r="54" spans="1:8" x14ac:dyDescent="0.25">
      <c r="A54" s="39">
        <v>45906</v>
      </c>
      <c r="B54" s="27"/>
      <c r="C54" s="27"/>
      <c r="D54" s="27" t="s">
        <v>166</v>
      </c>
      <c r="E54" s="42"/>
      <c r="F54" s="42">
        <v>3</v>
      </c>
      <c r="G54" s="42">
        <f t="shared" si="4"/>
        <v>107</v>
      </c>
      <c r="H54" s="27"/>
    </row>
    <row r="55" spans="1:8" x14ac:dyDescent="0.25">
      <c r="A55" s="39">
        <v>45913</v>
      </c>
      <c r="B55" s="27"/>
      <c r="C55" s="27"/>
      <c r="D55" s="27" t="s">
        <v>160</v>
      </c>
      <c r="E55" s="42"/>
      <c r="F55" s="42">
        <v>10</v>
      </c>
      <c r="G55" s="42">
        <f t="shared" si="4"/>
        <v>97</v>
      </c>
      <c r="H55" s="27"/>
    </row>
    <row r="56" spans="1:8" x14ac:dyDescent="0.25">
      <c r="A56" s="39">
        <v>45913</v>
      </c>
      <c r="B56" s="27">
        <v>206132</v>
      </c>
      <c r="C56" s="27">
        <v>66479</v>
      </c>
      <c r="D56" s="27" t="s">
        <v>159</v>
      </c>
      <c r="E56" s="42"/>
      <c r="F56" s="42">
        <v>20</v>
      </c>
      <c r="G56" s="42">
        <f t="shared" si="4"/>
        <v>77</v>
      </c>
      <c r="H56" s="27"/>
    </row>
    <row r="57" spans="1:8" x14ac:dyDescent="0.25">
      <c r="A57" s="40">
        <v>45915</v>
      </c>
      <c r="B57" s="29">
        <v>110658</v>
      </c>
      <c r="C57" s="29"/>
      <c r="D57" s="103" t="s">
        <v>129</v>
      </c>
      <c r="E57" s="43">
        <v>182</v>
      </c>
      <c r="F57" s="43"/>
      <c r="G57" s="43">
        <f t="shared" si="4"/>
        <v>259</v>
      </c>
      <c r="H57" s="29"/>
    </row>
    <row r="58" spans="1:8" x14ac:dyDescent="0.25">
      <c r="A58" s="39">
        <v>45915</v>
      </c>
      <c r="B58" s="27">
        <v>2028</v>
      </c>
      <c r="C58" s="27">
        <v>66481</v>
      </c>
      <c r="D58" s="27" t="s">
        <v>149</v>
      </c>
      <c r="E58" s="42"/>
      <c r="F58" s="42">
        <v>100</v>
      </c>
      <c r="G58" s="42">
        <f t="shared" si="4"/>
        <v>159</v>
      </c>
      <c r="H58" s="27"/>
    </row>
    <row r="59" spans="1:8" x14ac:dyDescent="0.25">
      <c r="A59" s="39">
        <v>45915</v>
      </c>
      <c r="B59" s="27">
        <v>2049</v>
      </c>
      <c r="C59" s="27">
        <v>66482</v>
      </c>
      <c r="D59" s="27" t="s">
        <v>42</v>
      </c>
      <c r="E59" s="42"/>
      <c r="F59" s="42">
        <v>50</v>
      </c>
      <c r="G59" s="42">
        <f t="shared" si="4"/>
        <v>109</v>
      </c>
      <c r="H59" s="27"/>
    </row>
    <row r="60" spans="1:8" x14ac:dyDescent="0.25">
      <c r="A60" s="39">
        <v>45919</v>
      </c>
      <c r="B60" s="27"/>
      <c r="C60" s="27">
        <v>66490</v>
      </c>
      <c r="D60" s="27" t="s">
        <v>89</v>
      </c>
      <c r="E60" s="42"/>
      <c r="F60" s="42">
        <v>15</v>
      </c>
      <c r="G60" s="42">
        <f t="shared" si="4"/>
        <v>94</v>
      </c>
      <c r="H60" s="27"/>
    </row>
    <row r="61" spans="1:8" x14ac:dyDescent="0.25">
      <c r="A61" s="39">
        <v>45925</v>
      </c>
      <c r="B61" s="27"/>
      <c r="C61" s="27"/>
      <c r="D61" s="27" t="s">
        <v>183</v>
      </c>
      <c r="E61" s="42"/>
      <c r="F61" s="42">
        <v>3</v>
      </c>
      <c r="G61" s="42">
        <f t="shared" si="4"/>
        <v>91</v>
      </c>
      <c r="H61" s="27"/>
    </row>
    <row r="62" spans="1:8" x14ac:dyDescent="0.25">
      <c r="A62" s="40">
        <v>45925</v>
      </c>
      <c r="B62" s="29">
        <v>110674</v>
      </c>
      <c r="C62" s="29"/>
      <c r="D62" s="103" t="s">
        <v>129</v>
      </c>
      <c r="E62" s="43">
        <v>182</v>
      </c>
      <c r="F62" s="43"/>
      <c r="G62" s="43">
        <f t="shared" si="4"/>
        <v>273</v>
      </c>
      <c r="H62" s="27"/>
    </row>
    <row r="63" spans="1:8" x14ac:dyDescent="0.25">
      <c r="A63" s="39">
        <v>45925</v>
      </c>
      <c r="B63" s="27">
        <v>179935</v>
      </c>
      <c r="C63" s="27">
        <v>72101</v>
      </c>
      <c r="D63" s="27" t="s">
        <v>184</v>
      </c>
      <c r="E63" s="42"/>
      <c r="F63" s="42">
        <v>50</v>
      </c>
      <c r="G63" s="42">
        <f t="shared" si="4"/>
        <v>223</v>
      </c>
      <c r="H63" s="27"/>
    </row>
    <row r="64" spans="1:8" x14ac:dyDescent="0.25">
      <c r="A64" s="39">
        <v>45926</v>
      </c>
      <c r="B64" s="27">
        <v>76257</v>
      </c>
      <c r="C64" s="27">
        <v>72103</v>
      </c>
      <c r="D64" s="27" t="s">
        <v>88</v>
      </c>
      <c r="E64" s="42"/>
      <c r="F64" s="42">
        <v>100</v>
      </c>
      <c r="G64" s="42">
        <f t="shared" si="4"/>
        <v>123</v>
      </c>
      <c r="H64" s="27"/>
    </row>
    <row r="65" spans="1:12" x14ac:dyDescent="0.25">
      <c r="A65" s="39">
        <v>45927</v>
      </c>
      <c r="B65" s="27"/>
      <c r="C65" s="27"/>
      <c r="D65" s="27" t="s">
        <v>162</v>
      </c>
      <c r="E65" s="42"/>
      <c r="F65" s="42">
        <v>10</v>
      </c>
      <c r="G65" s="43">
        <f t="shared" si="4"/>
        <v>113</v>
      </c>
      <c r="H65" s="27"/>
    </row>
    <row r="66" spans="1:12" x14ac:dyDescent="0.25">
      <c r="A66" s="39">
        <v>45927</v>
      </c>
      <c r="B66" s="27">
        <v>142529</v>
      </c>
      <c r="C66" s="27">
        <v>72111</v>
      </c>
      <c r="D66" s="27" t="s">
        <v>163</v>
      </c>
      <c r="E66" s="42"/>
      <c r="F66" s="42">
        <v>26</v>
      </c>
      <c r="G66" s="43">
        <f t="shared" si="4"/>
        <v>87</v>
      </c>
      <c r="H66" s="27"/>
    </row>
    <row r="67" spans="1:12" x14ac:dyDescent="0.25">
      <c r="A67" s="39">
        <v>45929</v>
      </c>
      <c r="B67" s="27"/>
      <c r="C67" s="27"/>
      <c r="D67" s="27" t="s">
        <v>107</v>
      </c>
      <c r="E67" s="42"/>
      <c r="F67" s="42">
        <v>1</v>
      </c>
      <c r="G67" s="42">
        <f t="shared" si="4"/>
        <v>86</v>
      </c>
      <c r="H67" s="27"/>
    </row>
    <row r="68" spans="1:12" x14ac:dyDescent="0.25">
      <c r="A68" s="39">
        <v>45929</v>
      </c>
      <c r="B68" s="27"/>
      <c r="C68" s="27"/>
      <c r="D68" s="27" t="s">
        <v>161</v>
      </c>
      <c r="E68" s="42"/>
      <c r="F68" s="42">
        <v>4</v>
      </c>
      <c r="G68" s="42">
        <f t="shared" ref="G68:G74" si="5">G67+E68-F68</f>
        <v>82</v>
      </c>
      <c r="H68" s="27"/>
    </row>
    <row r="69" spans="1:12" x14ac:dyDescent="0.25">
      <c r="A69" s="39">
        <v>45930</v>
      </c>
      <c r="B69" s="27">
        <v>2083</v>
      </c>
      <c r="C69" s="27">
        <v>72117</v>
      </c>
      <c r="D69" s="27" t="s">
        <v>42</v>
      </c>
      <c r="E69" s="42"/>
      <c r="F69" s="42">
        <v>82</v>
      </c>
      <c r="G69" s="42">
        <f t="shared" si="5"/>
        <v>0</v>
      </c>
      <c r="H69" s="27"/>
    </row>
    <row r="70" spans="1:12" x14ac:dyDescent="0.25">
      <c r="A70" s="40">
        <v>45933</v>
      </c>
      <c r="B70" s="29">
        <v>110685</v>
      </c>
      <c r="C70" s="29"/>
      <c r="D70" s="29" t="s">
        <v>129</v>
      </c>
      <c r="E70" s="43">
        <v>182</v>
      </c>
      <c r="F70" s="43"/>
      <c r="G70" s="43">
        <f t="shared" si="5"/>
        <v>182</v>
      </c>
      <c r="H70" s="29"/>
      <c r="L70" s="120"/>
    </row>
    <row r="71" spans="1:12" x14ac:dyDescent="0.25">
      <c r="A71" s="39">
        <v>45934</v>
      </c>
      <c r="B71" s="27"/>
      <c r="C71" s="27"/>
      <c r="D71" s="27" t="s">
        <v>178</v>
      </c>
      <c r="E71" s="42"/>
      <c r="F71" s="42">
        <v>10</v>
      </c>
      <c r="G71" s="42">
        <f t="shared" si="5"/>
        <v>172</v>
      </c>
      <c r="H71" s="27"/>
    </row>
    <row r="72" spans="1:12" x14ac:dyDescent="0.25">
      <c r="A72" s="39">
        <v>45937</v>
      </c>
      <c r="B72" s="27"/>
      <c r="C72" s="27"/>
      <c r="D72" s="27" t="s">
        <v>198</v>
      </c>
      <c r="E72" s="42"/>
      <c r="F72" s="42">
        <v>1</v>
      </c>
      <c r="G72" s="42">
        <f t="shared" si="5"/>
        <v>171</v>
      </c>
      <c r="H72" s="27"/>
    </row>
    <row r="73" spans="1:12" x14ac:dyDescent="0.25">
      <c r="A73" s="39">
        <v>45940</v>
      </c>
      <c r="B73" s="27">
        <v>206068</v>
      </c>
      <c r="C73" s="27">
        <v>72135</v>
      </c>
      <c r="D73" s="27" t="s">
        <v>159</v>
      </c>
      <c r="E73" s="42"/>
      <c r="F73" s="42">
        <v>19</v>
      </c>
      <c r="G73" s="42">
        <f t="shared" si="5"/>
        <v>152</v>
      </c>
      <c r="H73" s="27"/>
    </row>
    <row r="74" spans="1:12" x14ac:dyDescent="0.25">
      <c r="A74" s="39">
        <v>45941</v>
      </c>
      <c r="B74" s="27"/>
      <c r="C74" s="27"/>
      <c r="D74" s="27" t="s">
        <v>162</v>
      </c>
      <c r="E74" s="42"/>
      <c r="F74" s="42">
        <v>10</v>
      </c>
      <c r="G74" s="42">
        <f t="shared" si="5"/>
        <v>142</v>
      </c>
      <c r="H74" s="27"/>
    </row>
    <row r="75" spans="1:12" x14ac:dyDescent="0.25">
      <c r="A75" s="39">
        <v>45943</v>
      </c>
      <c r="B75" s="27"/>
      <c r="C75" s="27"/>
      <c r="D75" s="27" t="s">
        <v>90</v>
      </c>
      <c r="E75" s="42"/>
      <c r="F75" s="42">
        <v>2</v>
      </c>
      <c r="G75" s="42">
        <f>G74+E75-F75</f>
        <v>140</v>
      </c>
      <c r="H75" s="27"/>
    </row>
    <row r="76" spans="1:12" x14ac:dyDescent="0.25">
      <c r="A76" s="39">
        <v>45948</v>
      </c>
      <c r="B76" s="27">
        <v>2127</v>
      </c>
      <c r="C76" s="27">
        <v>71307</v>
      </c>
      <c r="D76" s="27" t="s">
        <v>42</v>
      </c>
      <c r="E76" s="42"/>
      <c r="F76" s="42">
        <v>75</v>
      </c>
      <c r="G76" s="42">
        <f>G75+E76-F76</f>
        <v>65</v>
      </c>
      <c r="H76" s="27"/>
    </row>
    <row r="77" spans="1:12" x14ac:dyDescent="0.25">
      <c r="A77" s="39">
        <v>45950</v>
      </c>
      <c r="B77" s="27"/>
      <c r="C77" s="27"/>
      <c r="D77" s="27" t="s">
        <v>69</v>
      </c>
      <c r="E77" s="42"/>
      <c r="F77" s="42">
        <v>3</v>
      </c>
      <c r="G77" s="42">
        <f>G76+E77-F77</f>
        <v>62</v>
      </c>
      <c r="H77" s="27"/>
    </row>
    <row r="78" spans="1:12" x14ac:dyDescent="0.25">
      <c r="A78" s="40">
        <v>45953</v>
      </c>
      <c r="B78" s="29">
        <v>110753</v>
      </c>
      <c r="C78" s="29"/>
      <c r="D78" s="29" t="s">
        <v>129</v>
      </c>
      <c r="E78" s="43">
        <v>182</v>
      </c>
      <c r="F78" s="43"/>
      <c r="G78" s="43">
        <f t="shared" ref="G78:G83" si="6">G77+E78-F78</f>
        <v>244</v>
      </c>
      <c r="H78" s="29"/>
    </row>
    <row r="79" spans="1:12" x14ac:dyDescent="0.25">
      <c r="A79" s="39">
        <v>45954</v>
      </c>
      <c r="B79" s="27">
        <v>206977</v>
      </c>
      <c r="C79" s="27">
        <v>71319</v>
      </c>
      <c r="D79" s="27" t="s">
        <v>50</v>
      </c>
      <c r="E79" s="42"/>
      <c r="F79" s="42">
        <v>15</v>
      </c>
      <c r="G79" s="42">
        <f t="shared" si="6"/>
        <v>229</v>
      </c>
      <c r="H79" s="27"/>
    </row>
    <row r="80" spans="1:12" x14ac:dyDescent="0.25">
      <c r="A80" s="39">
        <v>45954</v>
      </c>
      <c r="B80" s="27">
        <v>112654</v>
      </c>
      <c r="C80" s="27">
        <v>71320</v>
      </c>
      <c r="D80" s="27" t="s">
        <v>120</v>
      </c>
      <c r="E80" s="42"/>
      <c r="F80" s="42">
        <v>20</v>
      </c>
      <c r="G80" s="42">
        <f t="shared" si="6"/>
        <v>209</v>
      </c>
      <c r="H80" s="27"/>
    </row>
    <row r="81" spans="1:8" x14ac:dyDescent="0.25">
      <c r="A81" s="39">
        <v>45958</v>
      </c>
      <c r="B81" s="27"/>
      <c r="C81" s="27"/>
      <c r="D81" s="27" t="s">
        <v>210</v>
      </c>
      <c r="E81" s="42"/>
      <c r="F81" s="42">
        <v>0.5</v>
      </c>
      <c r="G81" s="42">
        <f t="shared" si="6"/>
        <v>208.5</v>
      </c>
      <c r="H81" s="27"/>
    </row>
    <row r="82" spans="1:8" x14ac:dyDescent="0.25">
      <c r="A82" s="39">
        <v>45958</v>
      </c>
      <c r="B82" s="27"/>
      <c r="C82" s="27"/>
      <c r="D82" s="27" t="s">
        <v>107</v>
      </c>
      <c r="E82" s="42"/>
      <c r="F82" s="42">
        <v>0.5</v>
      </c>
      <c r="G82" s="42">
        <f t="shared" si="6"/>
        <v>208</v>
      </c>
      <c r="H82" s="27"/>
    </row>
    <row r="83" spans="1:8" x14ac:dyDescent="0.25">
      <c r="A83" s="39">
        <v>45958</v>
      </c>
      <c r="B83" s="27">
        <v>5989</v>
      </c>
      <c r="C83" s="27">
        <v>71334</v>
      </c>
      <c r="D83" s="27" t="s">
        <v>211</v>
      </c>
      <c r="E83" s="42"/>
      <c r="F83" s="105">
        <v>3</v>
      </c>
      <c r="G83" s="42">
        <f t="shared" si="6"/>
        <v>205</v>
      </c>
      <c r="H83" s="27" t="s">
        <v>212</v>
      </c>
    </row>
    <row r="84" spans="1:8" x14ac:dyDescent="0.25">
      <c r="A84" s="39">
        <v>45961</v>
      </c>
      <c r="B84" s="27">
        <v>2163</v>
      </c>
      <c r="C84" s="27">
        <v>71342</v>
      </c>
      <c r="D84" s="27" t="s">
        <v>42</v>
      </c>
      <c r="E84" s="42"/>
      <c r="F84" s="105">
        <v>60</v>
      </c>
      <c r="G84" s="42">
        <f t="shared" ref="G84:G92" si="7">G83+E84-F84</f>
        <v>145</v>
      </c>
      <c r="H84" s="27"/>
    </row>
    <row r="85" spans="1:8" x14ac:dyDescent="0.25">
      <c r="A85" s="39">
        <v>45962</v>
      </c>
      <c r="B85" s="27">
        <v>24387</v>
      </c>
      <c r="C85" s="27">
        <v>71348</v>
      </c>
      <c r="D85" s="27" t="s">
        <v>215</v>
      </c>
      <c r="E85" s="42"/>
      <c r="F85" s="105">
        <v>20</v>
      </c>
      <c r="G85" s="42">
        <f t="shared" si="7"/>
        <v>125</v>
      </c>
      <c r="H85" s="27"/>
    </row>
    <row r="86" spans="1:8" x14ac:dyDescent="0.25">
      <c r="A86" s="39">
        <v>45964</v>
      </c>
      <c r="B86" s="27"/>
      <c r="C86" s="27"/>
      <c r="D86" s="27" t="s">
        <v>219</v>
      </c>
      <c r="E86" s="42"/>
      <c r="F86" s="42">
        <v>3</v>
      </c>
      <c r="G86" s="42">
        <f t="shared" si="7"/>
        <v>122</v>
      </c>
      <c r="H86" s="27"/>
    </row>
    <row r="87" spans="1:8" x14ac:dyDescent="0.25">
      <c r="A87" s="39">
        <v>45970</v>
      </c>
      <c r="B87" s="27">
        <v>142787</v>
      </c>
      <c r="C87" s="27">
        <v>64961</v>
      </c>
      <c r="D87" s="27" t="s">
        <v>163</v>
      </c>
      <c r="E87" s="42"/>
      <c r="F87" s="105">
        <v>10</v>
      </c>
      <c r="G87" s="42">
        <f t="shared" si="7"/>
        <v>112</v>
      </c>
      <c r="H87" s="27"/>
    </row>
    <row r="88" spans="1:8" x14ac:dyDescent="0.25">
      <c r="A88" s="39">
        <v>45970</v>
      </c>
      <c r="B88" s="27">
        <v>142781</v>
      </c>
      <c r="C88" s="27">
        <v>64958</v>
      </c>
      <c r="D88" s="27" t="s">
        <v>163</v>
      </c>
      <c r="E88" s="42"/>
      <c r="F88" s="105">
        <v>20</v>
      </c>
      <c r="G88" s="42">
        <f t="shared" si="7"/>
        <v>92</v>
      </c>
      <c r="H88" s="27"/>
    </row>
    <row r="89" spans="1:8" x14ac:dyDescent="0.25">
      <c r="A89" s="39">
        <v>45970</v>
      </c>
      <c r="B89" s="27">
        <v>174653</v>
      </c>
      <c r="C89" s="27">
        <v>64963</v>
      </c>
      <c r="D89" s="27" t="s">
        <v>89</v>
      </c>
      <c r="E89" s="42"/>
      <c r="F89" s="105">
        <v>15</v>
      </c>
      <c r="G89" s="42">
        <f t="shared" si="7"/>
        <v>77</v>
      </c>
      <c r="H89" s="27"/>
    </row>
    <row r="90" spans="1:8" x14ac:dyDescent="0.25">
      <c r="A90" s="39">
        <v>45911</v>
      </c>
      <c r="B90" s="27">
        <v>24387</v>
      </c>
      <c r="C90" s="27">
        <v>64966</v>
      </c>
      <c r="D90" s="27" t="s">
        <v>215</v>
      </c>
      <c r="E90" s="42"/>
      <c r="F90" s="105">
        <v>10</v>
      </c>
      <c r="G90" s="42">
        <f t="shared" si="7"/>
        <v>67</v>
      </c>
      <c r="H90" s="27"/>
    </row>
    <row r="91" spans="1:8" x14ac:dyDescent="0.25">
      <c r="A91" s="39">
        <v>45972</v>
      </c>
      <c r="B91" s="27">
        <v>206977</v>
      </c>
      <c r="C91" s="27">
        <v>64967</v>
      </c>
      <c r="D91" s="27" t="s">
        <v>50</v>
      </c>
      <c r="E91" s="42"/>
      <c r="F91" s="105">
        <v>5</v>
      </c>
      <c r="G91" s="42">
        <f t="shared" si="7"/>
        <v>62</v>
      </c>
      <c r="H91" s="27"/>
    </row>
    <row r="92" spans="1:8" x14ac:dyDescent="0.25">
      <c r="A92" s="39">
        <v>45972</v>
      </c>
      <c r="B92" s="27">
        <v>206018</v>
      </c>
      <c r="C92" s="27">
        <v>64968</v>
      </c>
      <c r="D92" s="27" t="s">
        <v>159</v>
      </c>
      <c r="E92" s="42"/>
      <c r="F92" s="105">
        <v>20</v>
      </c>
      <c r="G92" s="42">
        <f t="shared" si="7"/>
        <v>42</v>
      </c>
      <c r="H92" s="27"/>
    </row>
    <row r="93" spans="1:8" x14ac:dyDescent="0.25">
      <c r="A93" s="39">
        <v>45975</v>
      </c>
      <c r="B93" s="27"/>
      <c r="C93" s="27"/>
      <c r="D93" s="27" t="s">
        <v>264</v>
      </c>
      <c r="E93" s="42"/>
      <c r="F93" s="42">
        <v>0.5</v>
      </c>
      <c r="G93" s="42">
        <f t="shared" ref="G93:G101" si="8">G92+E93-F93</f>
        <v>41.5</v>
      </c>
      <c r="H93" s="27"/>
    </row>
    <row r="94" spans="1:8" x14ac:dyDescent="0.25">
      <c r="A94" s="40">
        <v>45976</v>
      </c>
      <c r="B94" s="29">
        <v>110785</v>
      </c>
      <c r="C94" s="29"/>
      <c r="D94" s="29" t="s">
        <v>129</v>
      </c>
      <c r="E94" s="43">
        <v>182</v>
      </c>
      <c r="F94" s="43"/>
      <c r="G94" s="43">
        <f t="shared" si="8"/>
        <v>223.5</v>
      </c>
      <c r="H94" s="29"/>
    </row>
    <row r="95" spans="1:8" x14ac:dyDescent="0.25">
      <c r="A95" s="39">
        <v>45976</v>
      </c>
      <c r="B95" s="27">
        <v>2185</v>
      </c>
      <c r="C95" s="27">
        <v>71956</v>
      </c>
      <c r="D95" s="27" t="s">
        <v>149</v>
      </c>
      <c r="E95" s="42"/>
      <c r="F95" s="42">
        <v>60</v>
      </c>
      <c r="G95" s="42">
        <f t="shared" si="8"/>
        <v>163.5</v>
      </c>
      <c r="H95" s="27"/>
    </row>
    <row r="96" spans="1:8" x14ac:dyDescent="0.25">
      <c r="A96" s="39">
        <v>45977</v>
      </c>
      <c r="B96" s="27"/>
      <c r="C96" s="27"/>
      <c r="D96" s="27" t="s">
        <v>162</v>
      </c>
      <c r="E96" s="42"/>
      <c r="F96" s="42">
        <v>10</v>
      </c>
      <c r="G96" s="42">
        <f t="shared" si="8"/>
        <v>153.5</v>
      </c>
      <c r="H96" s="27"/>
    </row>
    <row r="97" spans="1:8" x14ac:dyDescent="0.25">
      <c r="A97" s="39">
        <v>45981</v>
      </c>
      <c r="B97" s="27">
        <v>2209</v>
      </c>
      <c r="C97" s="27">
        <v>71966</v>
      </c>
      <c r="D97" s="27" t="s">
        <v>42</v>
      </c>
      <c r="E97" s="42"/>
      <c r="F97" s="42">
        <v>60</v>
      </c>
      <c r="G97" s="105">
        <f t="shared" si="8"/>
        <v>93.5</v>
      </c>
      <c r="H97" s="27"/>
    </row>
    <row r="98" spans="1:8" x14ac:dyDescent="0.25">
      <c r="A98" s="39">
        <v>45982</v>
      </c>
      <c r="B98" s="27">
        <v>207030</v>
      </c>
      <c r="C98" s="27">
        <v>71967</v>
      </c>
      <c r="D98" s="27" t="s">
        <v>280</v>
      </c>
      <c r="E98" s="42"/>
      <c r="F98" s="42">
        <v>10</v>
      </c>
      <c r="G98" s="105">
        <f t="shared" si="8"/>
        <v>83.5</v>
      </c>
      <c r="H98" s="27"/>
    </row>
    <row r="99" spans="1:8" x14ac:dyDescent="0.25">
      <c r="A99" s="39">
        <v>45984</v>
      </c>
      <c r="B99" s="27">
        <v>127651</v>
      </c>
      <c r="C99" s="27">
        <v>64972</v>
      </c>
      <c r="D99" s="27" t="s">
        <v>163</v>
      </c>
      <c r="E99" s="42"/>
      <c r="F99" s="42">
        <v>17</v>
      </c>
      <c r="G99" s="105">
        <f t="shared" si="8"/>
        <v>66.5</v>
      </c>
      <c r="H99" s="27"/>
    </row>
    <row r="100" spans="1:8" x14ac:dyDescent="0.25">
      <c r="A100" s="39">
        <v>45988</v>
      </c>
      <c r="B100" s="27"/>
      <c r="C100" s="27"/>
      <c r="D100" s="27" t="s">
        <v>250</v>
      </c>
      <c r="E100" s="42"/>
      <c r="F100" s="42">
        <v>0.5</v>
      </c>
      <c r="G100" s="105">
        <f t="shared" si="8"/>
        <v>66</v>
      </c>
      <c r="H100" s="27"/>
    </row>
    <row r="101" spans="1:8" x14ac:dyDescent="0.25">
      <c r="A101" s="39">
        <v>45988</v>
      </c>
      <c r="B101" s="27"/>
      <c r="C101" s="27"/>
      <c r="D101" s="27" t="s">
        <v>250</v>
      </c>
      <c r="E101" s="42"/>
      <c r="F101" s="42">
        <v>10</v>
      </c>
      <c r="G101" s="42">
        <f t="shared" si="8"/>
        <v>56</v>
      </c>
      <c r="H101" s="27"/>
    </row>
    <row r="102" spans="1:8" x14ac:dyDescent="0.25">
      <c r="A102" s="39">
        <v>45988</v>
      </c>
      <c r="B102" s="27"/>
      <c r="C102" s="27"/>
      <c r="D102" s="27" t="s">
        <v>162</v>
      </c>
      <c r="E102" s="42"/>
      <c r="F102" s="42">
        <v>10</v>
      </c>
      <c r="G102" s="42">
        <f t="shared" ref="G102:G113" si="9">G101+E102-F102</f>
        <v>46</v>
      </c>
      <c r="H102" s="27"/>
    </row>
    <row r="103" spans="1:8" x14ac:dyDescent="0.25">
      <c r="A103" s="40">
        <v>46007</v>
      </c>
      <c r="B103" s="29">
        <v>141259</v>
      </c>
      <c r="C103" s="29"/>
      <c r="D103" s="29" t="s">
        <v>129</v>
      </c>
      <c r="E103" s="43">
        <v>182</v>
      </c>
      <c r="F103" s="43"/>
      <c r="G103" s="43">
        <f t="shared" si="9"/>
        <v>228</v>
      </c>
      <c r="H103" s="29"/>
    </row>
    <row r="104" spans="1:8" x14ac:dyDescent="0.25">
      <c r="A104" s="39">
        <v>46007</v>
      </c>
      <c r="B104" s="27"/>
      <c r="C104" s="27"/>
      <c r="D104" s="27" t="s">
        <v>75</v>
      </c>
      <c r="E104" s="42"/>
      <c r="F104" s="42">
        <v>2</v>
      </c>
      <c r="G104" s="42">
        <f t="shared" si="9"/>
        <v>226</v>
      </c>
      <c r="H104" s="27"/>
    </row>
    <row r="105" spans="1:8" x14ac:dyDescent="0.25">
      <c r="A105" s="39">
        <v>46008</v>
      </c>
      <c r="B105" s="27">
        <v>203560</v>
      </c>
      <c r="C105" s="27">
        <v>71979</v>
      </c>
      <c r="D105" s="27" t="s">
        <v>271</v>
      </c>
      <c r="E105" s="42"/>
      <c r="F105" s="42">
        <v>50</v>
      </c>
      <c r="G105" s="42">
        <f t="shared" si="9"/>
        <v>176</v>
      </c>
      <c r="H105" s="27"/>
    </row>
    <row r="106" spans="1:8" x14ac:dyDescent="0.25">
      <c r="A106" s="39">
        <v>46009</v>
      </c>
      <c r="B106" s="27"/>
      <c r="C106" s="27"/>
      <c r="D106" s="27" t="s">
        <v>13</v>
      </c>
      <c r="E106" s="42"/>
      <c r="F106" s="42">
        <v>10</v>
      </c>
      <c r="G106" s="42">
        <f t="shared" si="9"/>
        <v>166</v>
      </c>
      <c r="H106" s="27"/>
    </row>
    <row r="107" spans="1:8" x14ac:dyDescent="0.25">
      <c r="A107" s="39">
        <v>46010</v>
      </c>
      <c r="B107" s="27">
        <v>2223</v>
      </c>
      <c r="C107" s="27">
        <v>71982</v>
      </c>
      <c r="D107" s="27" t="s">
        <v>149</v>
      </c>
      <c r="E107" s="42"/>
      <c r="F107" s="42">
        <v>50</v>
      </c>
      <c r="G107" s="42">
        <f t="shared" si="9"/>
        <v>116</v>
      </c>
      <c r="H107" s="27"/>
    </row>
    <row r="108" spans="1:8" x14ac:dyDescent="0.25">
      <c r="A108" s="39">
        <v>46011</v>
      </c>
      <c r="B108" s="27"/>
      <c r="C108" s="27"/>
      <c r="D108" s="27" t="s">
        <v>162</v>
      </c>
      <c r="E108" s="42"/>
      <c r="F108" s="42">
        <v>10</v>
      </c>
      <c r="G108" s="42">
        <f t="shared" si="9"/>
        <v>106</v>
      </c>
      <c r="H108" s="27"/>
    </row>
    <row r="109" spans="1:8" x14ac:dyDescent="0.25">
      <c r="A109" s="39">
        <v>46013</v>
      </c>
      <c r="B109" s="27"/>
      <c r="C109" s="27"/>
      <c r="D109" s="27" t="s">
        <v>255</v>
      </c>
      <c r="E109" s="42"/>
      <c r="F109" s="42">
        <v>0.5</v>
      </c>
      <c r="G109" s="42">
        <f t="shared" si="9"/>
        <v>105.5</v>
      </c>
      <c r="H109" s="27"/>
    </row>
    <row r="110" spans="1:8" x14ac:dyDescent="0.25">
      <c r="A110" s="39">
        <v>46013</v>
      </c>
      <c r="B110" s="27"/>
      <c r="C110" s="27"/>
      <c r="D110" s="27" t="s">
        <v>322</v>
      </c>
      <c r="E110" s="42"/>
      <c r="F110" s="42">
        <v>1</v>
      </c>
      <c r="G110" s="42">
        <f t="shared" si="9"/>
        <v>104.5</v>
      </c>
      <c r="H110" s="27"/>
    </row>
    <row r="111" spans="1:8" x14ac:dyDescent="0.25">
      <c r="A111" s="40">
        <v>46017</v>
      </c>
      <c r="B111" s="29">
        <v>141291</v>
      </c>
      <c r="C111" s="29"/>
      <c r="D111" s="29" t="s">
        <v>129</v>
      </c>
      <c r="E111" s="43">
        <v>182</v>
      </c>
      <c r="F111" s="43"/>
      <c r="G111" s="43">
        <f t="shared" si="9"/>
        <v>286.5</v>
      </c>
      <c r="H111" s="29"/>
    </row>
    <row r="112" spans="1:8" x14ac:dyDescent="0.25">
      <c r="A112" s="39">
        <v>46017</v>
      </c>
      <c r="B112" s="27">
        <v>81420</v>
      </c>
      <c r="C112" s="27">
        <v>58056</v>
      </c>
      <c r="D112" s="27" t="s">
        <v>88</v>
      </c>
      <c r="E112" s="42"/>
      <c r="F112" s="42">
        <v>90</v>
      </c>
      <c r="G112" s="42">
        <f t="shared" si="9"/>
        <v>196.5</v>
      </c>
      <c r="H112" s="27"/>
    </row>
    <row r="113" spans="1:8" x14ac:dyDescent="0.25">
      <c r="A113" s="39">
        <v>46018</v>
      </c>
      <c r="B113" s="27">
        <v>2307</v>
      </c>
      <c r="C113" s="27">
        <v>71988</v>
      </c>
      <c r="D113" s="27" t="s">
        <v>42</v>
      </c>
      <c r="E113" s="42"/>
      <c r="F113" s="42">
        <v>50</v>
      </c>
      <c r="G113" s="42">
        <f t="shared" si="9"/>
        <v>146.5</v>
      </c>
      <c r="H113" s="27"/>
    </row>
    <row r="114" spans="1:8" x14ac:dyDescent="0.25">
      <c r="A114" s="39">
        <v>46026</v>
      </c>
      <c r="B114" s="27">
        <v>127600</v>
      </c>
      <c r="C114" s="27">
        <v>71994</v>
      </c>
      <c r="D114" s="27" t="s">
        <v>163</v>
      </c>
      <c r="E114" s="42"/>
      <c r="F114" s="42">
        <v>5</v>
      </c>
      <c r="G114" s="42">
        <f t="shared" ref="G114:G120" si="10">G113+E114-F114</f>
        <v>141.5</v>
      </c>
      <c r="H114" s="27"/>
    </row>
    <row r="115" spans="1:8" x14ac:dyDescent="0.25">
      <c r="A115" s="39">
        <v>46031</v>
      </c>
      <c r="B115" s="27"/>
      <c r="C115" s="27"/>
      <c r="D115" s="27" t="s">
        <v>300</v>
      </c>
      <c r="E115" s="42"/>
      <c r="F115" s="42">
        <v>2</v>
      </c>
      <c r="G115" s="42">
        <f t="shared" si="10"/>
        <v>139.5</v>
      </c>
      <c r="H115" s="27"/>
    </row>
    <row r="116" spans="1:8" x14ac:dyDescent="0.25">
      <c r="A116" s="39">
        <v>46033</v>
      </c>
      <c r="B116" s="27">
        <v>205986</v>
      </c>
      <c r="C116" s="27">
        <v>64998</v>
      </c>
      <c r="D116" s="27" t="s">
        <v>159</v>
      </c>
      <c r="E116" s="42"/>
      <c r="F116" s="42">
        <v>20</v>
      </c>
      <c r="G116" s="42">
        <f t="shared" si="10"/>
        <v>119.5</v>
      </c>
      <c r="H116" s="27"/>
    </row>
    <row r="117" spans="1:8" x14ac:dyDescent="0.25">
      <c r="A117" s="39">
        <v>46034</v>
      </c>
      <c r="B117" s="27"/>
      <c r="C117" s="27"/>
      <c r="D117" s="27" t="s">
        <v>313</v>
      </c>
      <c r="E117" s="42"/>
      <c r="F117" s="42">
        <v>25</v>
      </c>
      <c r="G117" s="42">
        <f t="shared" si="10"/>
        <v>94.5</v>
      </c>
      <c r="H117" s="27"/>
    </row>
    <row r="118" spans="1:8" x14ac:dyDescent="0.25">
      <c r="A118" s="39">
        <v>46036</v>
      </c>
      <c r="B118" s="27"/>
      <c r="C118" s="27"/>
      <c r="D118" s="27" t="s">
        <v>314</v>
      </c>
      <c r="E118" s="42"/>
      <c r="F118" s="42">
        <v>20</v>
      </c>
      <c r="G118" s="42">
        <f t="shared" si="10"/>
        <v>74.5</v>
      </c>
      <c r="H118" s="27"/>
    </row>
    <row r="119" spans="1:8" x14ac:dyDescent="0.25">
      <c r="A119" s="39">
        <v>46043</v>
      </c>
      <c r="B119" s="27"/>
      <c r="C119" s="27"/>
      <c r="D119" s="27" t="s">
        <v>314</v>
      </c>
      <c r="E119" s="42"/>
      <c r="F119" s="42">
        <v>20</v>
      </c>
      <c r="G119" s="42">
        <f t="shared" si="10"/>
        <v>54.5</v>
      </c>
      <c r="H119" s="27"/>
    </row>
    <row r="120" spans="1:8" x14ac:dyDescent="0.25">
      <c r="A120" s="39">
        <v>46044</v>
      </c>
      <c r="B120" s="27"/>
      <c r="C120" s="27"/>
      <c r="D120" s="27" t="s">
        <v>323</v>
      </c>
      <c r="E120" s="42"/>
      <c r="F120" s="42">
        <v>1</v>
      </c>
      <c r="G120" s="42">
        <f t="shared" si="10"/>
        <v>53.5</v>
      </c>
      <c r="H120" s="27"/>
    </row>
    <row r="121" spans="1:8" x14ac:dyDescent="0.25">
      <c r="A121" s="40">
        <v>46045</v>
      </c>
      <c r="B121" s="29">
        <v>142476</v>
      </c>
      <c r="D121" s="29" t="s">
        <v>129</v>
      </c>
      <c r="E121" s="43">
        <v>182</v>
      </c>
      <c r="F121" s="43"/>
      <c r="G121" s="43">
        <f t="shared" ref="G121:G128" si="11">G120+E121-F121</f>
        <v>235.5</v>
      </c>
      <c r="H121" s="29"/>
    </row>
    <row r="122" spans="1:8" x14ac:dyDescent="0.25">
      <c r="A122" s="39">
        <v>46047</v>
      </c>
      <c r="B122" s="27">
        <v>2416</v>
      </c>
      <c r="C122" s="27">
        <v>64367</v>
      </c>
      <c r="D122" s="27" t="s">
        <v>149</v>
      </c>
      <c r="E122" s="42"/>
      <c r="F122" s="42">
        <v>50</v>
      </c>
      <c r="G122" s="42">
        <f t="shared" si="11"/>
        <v>185.5</v>
      </c>
      <c r="H122" s="27"/>
    </row>
    <row r="123" spans="1:8" x14ac:dyDescent="0.25">
      <c r="A123" s="39">
        <v>46048</v>
      </c>
      <c r="B123" s="27">
        <v>2476</v>
      </c>
      <c r="C123" s="27">
        <v>64368</v>
      </c>
      <c r="D123" s="27" t="s">
        <v>324</v>
      </c>
      <c r="E123" s="42"/>
      <c r="F123" s="42">
        <v>50</v>
      </c>
      <c r="G123" s="42">
        <f t="shared" si="11"/>
        <v>135.5</v>
      </c>
      <c r="H123" s="27"/>
    </row>
    <row r="124" spans="1:8" x14ac:dyDescent="0.25">
      <c r="A124" s="39">
        <v>46048</v>
      </c>
      <c r="B124" s="27"/>
      <c r="C124" s="27"/>
      <c r="D124" s="27" t="s">
        <v>314</v>
      </c>
      <c r="E124" s="42"/>
      <c r="F124" s="42">
        <v>20</v>
      </c>
      <c r="G124" s="42">
        <f t="shared" si="11"/>
        <v>115.5</v>
      </c>
      <c r="H124" s="27"/>
    </row>
    <row r="125" spans="1:8" x14ac:dyDescent="0.25">
      <c r="A125" s="39">
        <v>46059</v>
      </c>
      <c r="B125" s="27"/>
      <c r="C125" s="27"/>
      <c r="D125" s="27" t="s">
        <v>90</v>
      </c>
      <c r="E125" s="42"/>
      <c r="F125" s="42">
        <v>3</v>
      </c>
      <c r="G125" s="42">
        <f t="shared" si="11"/>
        <v>112.5</v>
      </c>
      <c r="H125" s="27"/>
    </row>
    <row r="126" spans="1:8" x14ac:dyDescent="0.25">
      <c r="A126" s="39">
        <v>46059</v>
      </c>
      <c r="B126" s="27">
        <v>2577</v>
      </c>
      <c r="C126" s="27">
        <v>64376</v>
      </c>
      <c r="D126" s="27" t="s">
        <v>159</v>
      </c>
      <c r="E126" s="42"/>
      <c r="F126" s="42">
        <v>20</v>
      </c>
      <c r="G126" s="42">
        <f t="shared" si="11"/>
        <v>92.5</v>
      </c>
      <c r="H126" s="27"/>
    </row>
    <row r="127" spans="1:8" x14ac:dyDescent="0.25">
      <c r="A127" s="39">
        <v>46060</v>
      </c>
      <c r="B127" s="27">
        <v>2526</v>
      </c>
      <c r="C127" s="27">
        <v>64377</v>
      </c>
      <c r="D127" s="27" t="s">
        <v>339</v>
      </c>
      <c r="E127" s="42"/>
      <c r="F127" s="42">
        <v>50</v>
      </c>
      <c r="G127" s="42">
        <f t="shared" si="11"/>
        <v>42.5</v>
      </c>
      <c r="H127" s="27"/>
    </row>
    <row r="128" spans="1:8" x14ac:dyDescent="0.25">
      <c r="A128" s="39">
        <v>46062</v>
      </c>
      <c r="B128" s="27">
        <v>708</v>
      </c>
      <c r="C128" s="27">
        <v>64378</v>
      </c>
      <c r="D128" s="27" t="s">
        <v>108</v>
      </c>
      <c r="E128" s="42"/>
      <c r="F128" s="42">
        <v>20</v>
      </c>
      <c r="G128" s="42">
        <f t="shared" si="11"/>
        <v>22.5</v>
      </c>
      <c r="H128" s="27"/>
    </row>
    <row r="129" spans="1:8" x14ac:dyDescent="0.25">
      <c r="A129" s="40">
        <v>46063</v>
      </c>
      <c r="B129" s="29">
        <v>142492</v>
      </c>
      <c r="C129" s="29"/>
      <c r="D129" s="29" t="s">
        <v>129</v>
      </c>
      <c r="E129" s="43">
        <v>182</v>
      </c>
      <c r="F129" s="43"/>
      <c r="G129" s="43">
        <f t="shared" ref="G129:G143" si="12">G128+E129-F129</f>
        <v>204.5</v>
      </c>
      <c r="H129" s="29"/>
    </row>
    <row r="130" spans="1:8" x14ac:dyDescent="0.25">
      <c r="A130" s="39">
        <v>46063</v>
      </c>
      <c r="B130" s="27"/>
      <c r="C130" s="27"/>
      <c r="D130" s="27" t="s">
        <v>162</v>
      </c>
      <c r="E130" s="42"/>
      <c r="F130" s="42">
        <v>10</v>
      </c>
      <c r="G130" s="42">
        <f t="shared" si="12"/>
        <v>194.5</v>
      </c>
      <c r="H130" s="27"/>
    </row>
    <row r="131" spans="1:8" x14ac:dyDescent="0.25">
      <c r="A131" s="39">
        <v>46064</v>
      </c>
      <c r="B131" s="27">
        <v>2477</v>
      </c>
      <c r="C131" s="27">
        <v>64382</v>
      </c>
      <c r="D131" s="27" t="s">
        <v>163</v>
      </c>
      <c r="E131" s="42"/>
      <c r="F131" s="42">
        <v>20</v>
      </c>
      <c r="G131" s="42">
        <f t="shared" si="12"/>
        <v>174.5</v>
      </c>
      <c r="H131" s="27"/>
    </row>
    <row r="132" spans="1:8" x14ac:dyDescent="0.25">
      <c r="A132" s="39">
        <v>46066</v>
      </c>
      <c r="B132" s="27">
        <v>141151</v>
      </c>
      <c r="C132" s="27"/>
      <c r="D132" s="27" t="s">
        <v>161</v>
      </c>
      <c r="E132" s="42"/>
      <c r="F132" s="42">
        <v>20</v>
      </c>
      <c r="G132" s="42">
        <f t="shared" si="12"/>
        <v>154.5</v>
      </c>
      <c r="H132" s="27"/>
    </row>
    <row r="133" spans="1:8" x14ac:dyDescent="0.25">
      <c r="A133" s="39">
        <v>46069</v>
      </c>
      <c r="B133" s="27">
        <v>2625</v>
      </c>
      <c r="C133" s="27">
        <v>64387</v>
      </c>
      <c r="D133" s="27" t="s">
        <v>352</v>
      </c>
      <c r="E133" s="42"/>
      <c r="F133" s="42">
        <v>50</v>
      </c>
      <c r="G133" s="42">
        <f t="shared" si="12"/>
        <v>104.5</v>
      </c>
      <c r="H133" s="27"/>
    </row>
    <row r="134" spans="1:8" x14ac:dyDescent="0.25">
      <c r="A134" s="39">
        <v>46070</v>
      </c>
      <c r="B134" s="27">
        <v>114857</v>
      </c>
      <c r="C134" s="27">
        <v>64389</v>
      </c>
      <c r="D134" s="27" t="s">
        <v>353</v>
      </c>
      <c r="E134" s="42"/>
      <c r="F134" s="42">
        <v>5</v>
      </c>
      <c r="G134" s="42">
        <f t="shared" si="12"/>
        <v>99.5</v>
      </c>
      <c r="H134" s="27"/>
    </row>
    <row r="135" spans="1:8" x14ac:dyDescent="0.25">
      <c r="A135" s="39">
        <v>46072</v>
      </c>
      <c r="B135" s="27">
        <v>110808</v>
      </c>
      <c r="C135" s="27">
        <v>58085</v>
      </c>
      <c r="D135" s="27" t="s">
        <v>178</v>
      </c>
      <c r="E135" s="42"/>
      <c r="F135" s="42">
        <v>10</v>
      </c>
      <c r="G135" s="42">
        <f t="shared" si="12"/>
        <v>89.5</v>
      </c>
      <c r="H135" s="27"/>
    </row>
    <row r="136" spans="1:8" x14ac:dyDescent="0.25">
      <c r="A136" s="39">
        <v>46073</v>
      </c>
      <c r="B136" s="27">
        <v>2682</v>
      </c>
      <c r="C136" s="27">
        <v>58086</v>
      </c>
      <c r="D136" s="27" t="s">
        <v>159</v>
      </c>
      <c r="E136" s="42"/>
      <c r="F136" s="42">
        <v>20</v>
      </c>
      <c r="G136" s="42">
        <f t="shared" si="12"/>
        <v>69.5</v>
      </c>
      <c r="H136" s="27"/>
    </row>
    <row r="137" spans="1:8" x14ac:dyDescent="0.25">
      <c r="A137" s="39">
        <v>46076</v>
      </c>
      <c r="B137" s="27"/>
      <c r="C137" s="27"/>
      <c r="D137" s="27" t="s">
        <v>361</v>
      </c>
      <c r="E137" s="42"/>
      <c r="F137" s="42">
        <v>10</v>
      </c>
      <c r="G137" s="42">
        <f t="shared" si="12"/>
        <v>59.5</v>
      </c>
      <c r="H137" s="27"/>
    </row>
    <row r="138" spans="1:8" x14ac:dyDescent="0.25">
      <c r="A138" s="39">
        <v>46077</v>
      </c>
      <c r="B138" s="27">
        <v>140698</v>
      </c>
      <c r="C138" s="27"/>
      <c r="D138" s="27" t="s">
        <v>360</v>
      </c>
      <c r="E138" s="42"/>
      <c r="F138" s="42">
        <v>10</v>
      </c>
      <c r="G138" s="42">
        <f t="shared" si="12"/>
        <v>49.5</v>
      </c>
      <c r="H138" s="27"/>
    </row>
    <row r="139" spans="1:8" x14ac:dyDescent="0.25">
      <c r="A139" s="39">
        <v>46078</v>
      </c>
      <c r="B139" s="27"/>
      <c r="C139" s="27"/>
      <c r="D139" s="27" t="s">
        <v>202</v>
      </c>
      <c r="E139" s="42"/>
      <c r="F139" s="42">
        <v>1</v>
      </c>
      <c r="G139" s="42">
        <f t="shared" si="12"/>
        <v>48.5</v>
      </c>
      <c r="H139" s="27"/>
    </row>
    <row r="140" spans="1:8" x14ac:dyDescent="0.25">
      <c r="A140" s="39">
        <v>46079</v>
      </c>
      <c r="B140" s="27">
        <v>127062</v>
      </c>
      <c r="C140" s="27">
        <v>64396</v>
      </c>
      <c r="D140" s="27" t="s">
        <v>160</v>
      </c>
      <c r="E140" s="42"/>
      <c r="F140" s="42">
        <v>10</v>
      </c>
      <c r="G140" s="42">
        <f t="shared" si="12"/>
        <v>38.5</v>
      </c>
      <c r="H140" s="27"/>
    </row>
    <row r="141" spans="1:8" x14ac:dyDescent="0.25">
      <c r="A141" s="40">
        <v>46079</v>
      </c>
      <c r="B141" s="29">
        <v>140810</v>
      </c>
      <c r="C141" s="29"/>
      <c r="D141" s="29" t="s">
        <v>129</v>
      </c>
      <c r="E141" s="43">
        <v>182</v>
      </c>
      <c r="F141" s="43"/>
      <c r="G141" s="43">
        <f t="shared" si="12"/>
        <v>220.5</v>
      </c>
      <c r="H141" s="29"/>
    </row>
    <row r="142" spans="1:8" x14ac:dyDescent="0.25">
      <c r="A142" s="39">
        <v>46088</v>
      </c>
      <c r="B142" s="27">
        <v>2560</v>
      </c>
      <c r="C142" s="27">
        <v>58096</v>
      </c>
      <c r="D142" s="27" t="s">
        <v>372</v>
      </c>
      <c r="E142" s="42"/>
      <c r="F142" s="42">
        <v>40</v>
      </c>
      <c r="G142" s="42">
        <f t="shared" si="12"/>
        <v>180.5</v>
      </c>
      <c r="H142" s="27"/>
    </row>
    <row r="143" spans="1:8" x14ac:dyDescent="0.25">
      <c r="A143" s="39">
        <v>46091</v>
      </c>
      <c r="B143" s="27">
        <v>2645</v>
      </c>
      <c r="C143" s="27">
        <v>58099</v>
      </c>
      <c r="D143" s="27" t="s">
        <v>376</v>
      </c>
      <c r="E143" s="42"/>
      <c r="F143" s="42">
        <v>30</v>
      </c>
      <c r="G143" s="42">
        <f t="shared" si="12"/>
        <v>150.5</v>
      </c>
      <c r="H143" s="27"/>
    </row>
    <row r="144" spans="1:8" x14ac:dyDescent="0.25">
      <c r="A144" s="39">
        <v>46094</v>
      </c>
      <c r="B144" s="27">
        <v>2653</v>
      </c>
      <c r="C144" s="27">
        <v>64204</v>
      </c>
      <c r="D144" s="27" t="s">
        <v>163</v>
      </c>
      <c r="E144" s="42"/>
      <c r="F144" s="42">
        <v>10</v>
      </c>
      <c r="G144" s="42">
        <f t="shared" ref="G144:G150" si="13">G143+E144-F144</f>
        <v>140.5</v>
      </c>
      <c r="H144" s="27"/>
    </row>
    <row r="145" spans="1:8" x14ac:dyDescent="0.25">
      <c r="A145" s="39">
        <v>46097</v>
      </c>
      <c r="B145" s="27">
        <v>2784</v>
      </c>
      <c r="C145" s="27">
        <v>64211</v>
      </c>
      <c r="D145" s="27" t="s">
        <v>352</v>
      </c>
      <c r="E145" s="42"/>
      <c r="F145" s="42">
        <v>20</v>
      </c>
      <c r="G145" s="42">
        <f t="shared" si="13"/>
        <v>120.5</v>
      </c>
      <c r="H145" s="27"/>
    </row>
    <row r="146" spans="1:8" x14ac:dyDescent="0.25">
      <c r="A146" s="39">
        <v>46100</v>
      </c>
      <c r="B146" s="27"/>
      <c r="C146" s="27"/>
      <c r="D146" s="27" t="s">
        <v>384</v>
      </c>
      <c r="E146" s="42"/>
      <c r="F146" s="42">
        <v>0.2</v>
      </c>
      <c r="G146" s="42">
        <f t="shared" si="13"/>
        <v>120.3</v>
      </c>
      <c r="H146" s="27"/>
    </row>
    <row r="147" spans="1:8" x14ac:dyDescent="0.25">
      <c r="A147" s="39">
        <v>46102</v>
      </c>
      <c r="B147" s="27"/>
      <c r="C147" s="27"/>
      <c r="D147" s="27" t="s">
        <v>387</v>
      </c>
      <c r="E147" s="42"/>
      <c r="F147" s="42">
        <v>0.5</v>
      </c>
      <c r="G147" s="42">
        <f t="shared" si="13"/>
        <v>119.8</v>
      </c>
      <c r="H147" s="27"/>
    </row>
    <row r="148" spans="1:8" x14ac:dyDescent="0.25">
      <c r="A148" s="39">
        <v>46102</v>
      </c>
      <c r="B148" s="27">
        <v>2878</v>
      </c>
      <c r="C148" s="27">
        <v>57858</v>
      </c>
      <c r="D148" s="27" t="s">
        <v>163</v>
      </c>
      <c r="E148" s="42"/>
      <c r="F148" s="42">
        <v>10</v>
      </c>
      <c r="G148" s="42">
        <f t="shared" si="13"/>
        <v>109.8</v>
      </c>
      <c r="H148" s="27"/>
    </row>
    <row r="149" spans="1:8" x14ac:dyDescent="0.25">
      <c r="A149" s="39">
        <v>46106</v>
      </c>
      <c r="B149" s="27">
        <v>142179</v>
      </c>
      <c r="C149" s="27"/>
      <c r="D149" s="27" t="s">
        <v>360</v>
      </c>
      <c r="E149" s="42"/>
      <c r="F149" s="42">
        <v>10</v>
      </c>
      <c r="G149" s="42">
        <f t="shared" si="13"/>
        <v>99.8</v>
      </c>
      <c r="H149" s="27"/>
    </row>
    <row r="150" spans="1:8" x14ac:dyDescent="0.25">
      <c r="A150" s="39">
        <v>46106</v>
      </c>
      <c r="B150" s="27">
        <v>81435</v>
      </c>
      <c r="C150" s="27"/>
      <c r="D150" s="27" t="s">
        <v>88</v>
      </c>
      <c r="E150" s="42"/>
      <c r="F150" s="42">
        <v>10</v>
      </c>
      <c r="G150" s="42">
        <f t="shared" si="13"/>
        <v>89.8</v>
      </c>
      <c r="H150" s="27"/>
    </row>
    <row r="151" spans="1:8" x14ac:dyDescent="0.25">
      <c r="A151" s="39">
        <v>46108</v>
      </c>
      <c r="B151" s="27">
        <v>2784</v>
      </c>
      <c r="C151" s="27">
        <v>64219</v>
      </c>
      <c r="D151" s="27" t="s">
        <v>324</v>
      </c>
      <c r="E151" s="42"/>
      <c r="F151" s="42">
        <v>30</v>
      </c>
      <c r="G151" s="42">
        <f t="shared" ref="G151:G160" si="14">G150+E151-F151</f>
        <v>59.8</v>
      </c>
      <c r="H151" s="27"/>
    </row>
    <row r="152" spans="1:8" x14ac:dyDescent="0.25">
      <c r="A152" s="40">
        <v>46108</v>
      </c>
      <c r="B152" s="29">
        <v>140836</v>
      </c>
      <c r="C152" s="29"/>
      <c r="D152" s="29" t="s">
        <v>129</v>
      </c>
      <c r="E152" s="43">
        <v>182</v>
      </c>
      <c r="F152" s="43"/>
      <c r="G152" s="43">
        <f t="shared" si="14"/>
        <v>241.8</v>
      </c>
      <c r="H152" s="29"/>
    </row>
    <row r="153" spans="1:8" x14ac:dyDescent="0.25">
      <c r="A153" s="39">
        <v>46112</v>
      </c>
      <c r="B153" s="27">
        <v>198656</v>
      </c>
      <c r="C153" s="27">
        <v>57865</v>
      </c>
      <c r="D153" s="27" t="s">
        <v>396</v>
      </c>
      <c r="E153" s="42"/>
      <c r="F153" s="42">
        <v>10</v>
      </c>
      <c r="G153" s="42">
        <f t="shared" si="14"/>
        <v>231.8</v>
      </c>
      <c r="H153" s="27"/>
    </row>
    <row r="154" spans="1:8" x14ac:dyDescent="0.25">
      <c r="A154" s="39">
        <v>46113</v>
      </c>
      <c r="B154" s="27"/>
      <c r="C154" s="27"/>
      <c r="D154" s="27" t="s">
        <v>252</v>
      </c>
      <c r="E154" s="42"/>
      <c r="F154" s="42">
        <v>0.5</v>
      </c>
      <c r="G154" s="42">
        <f t="shared" si="14"/>
        <v>231.3</v>
      </c>
      <c r="H154" s="27"/>
    </row>
    <row r="155" spans="1:8" x14ac:dyDescent="0.25">
      <c r="A155" s="39">
        <v>46115</v>
      </c>
      <c r="B155" s="27"/>
      <c r="C155" s="27"/>
      <c r="D155" s="27" t="s">
        <v>397</v>
      </c>
      <c r="E155" s="42"/>
      <c r="F155" s="42">
        <v>1</v>
      </c>
      <c r="G155" s="42">
        <f t="shared" si="14"/>
        <v>230.3</v>
      </c>
      <c r="H155" s="27"/>
    </row>
    <row r="156" spans="1:8" x14ac:dyDescent="0.25">
      <c r="A156" s="39">
        <v>46134</v>
      </c>
      <c r="B156" s="27"/>
      <c r="C156" s="27"/>
      <c r="D156" s="27" t="s">
        <v>409</v>
      </c>
      <c r="E156" s="42"/>
      <c r="F156" s="42">
        <v>0.5</v>
      </c>
      <c r="G156" s="42">
        <f t="shared" si="14"/>
        <v>229.8</v>
      </c>
      <c r="H156" s="27"/>
    </row>
    <row r="157" spans="1:8" x14ac:dyDescent="0.25">
      <c r="A157" s="39">
        <v>46136</v>
      </c>
      <c r="B157" s="27"/>
      <c r="C157" s="27"/>
      <c r="D157" s="27" t="s">
        <v>408</v>
      </c>
      <c r="E157" s="42"/>
      <c r="F157" s="42">
        <v>6</v>
      </c>
      <c r="G157" s="42">
        <f t="shared" si="14"/>
        <v>223.8</v>
      </c>
      <c r="H157" s="27"/>
    </row>
    <row r="158" spans="1:8" x14ac:dyDescent="0.25">
      <c r="A158" s="39">
        <v>46137</v>
      </c>
      <c r="B158" s="27"/>
      <c r="C158" s="27"/>
      <c r="D158" s="27" t="s">
        <v>413</v>
      </c>
      <c r="E158" s="42"/>
      <c r="F158" s="42">
        <v>3</v>
      </c>
      <c r="G158" s="42">
        <f t="shared" si="14"/>
        <v>220.8</v>
      </c>
      <c r="H158" s="27"/>
    </row>
    <row r="159" spans="1:8" x14ac:dyDescent="0.25">
      <c r="A159" s="39">
        <v>46139</v>
      </c>
      <c r="B159" s="27"/>
      <c r="C159" s="27"/>
      <c r="D159" s="27" t="s">
        <v>320</v>
      </c>
      <c r="E159" s="42"/>
      <c r="F159" s="42">
        <v>0.5</v>
      </c>
      <c r="G159" s="42">
        <f t="shared" si="14"/>
        <v>220.3</v>
      </c>
      <c r="H159" s="27"/>
    </row>
    <row r="160" spans="1:8" x14ac:dyDescent="0.25">
      <c r="A160" s="39"/>
      <c r="B160" s="27"/>
      <c r="C160" s="27"/>
      <c r="D160" s="27" t="s">
        <v>419</v>
      </c>
      <c r="E160" s="42"/>
      <c r="F160" s="42">
        <v>110</v>
      </c>
      <c r="G160" s="42">
        <f t="shared" si="14"/>
        <v>110.30000000000001</v>
      </c>
      <c r="H160" s="27"/>
    </row>
    <row r="161" spans="1:8" x14ac:dyDescent="0.25">
      <c r="A161" s="39">
        <v>46146</v>
      </c>
      <c r="B161" s="27">
        <v>205986</v>
      </c>
      <c r="C161" s="27">
        <v>57884</v>
      </c>
      <c r="D161" s="27" t="s">
        <v>159</v>
      </c>
      <c r="E161" s="42"/>
      <c r="F161" s="42">
        <v>20</v>
      </c>
      <c r="G161" s="42">
        <f t="shared" ref="G161:G181" si="15">G160+E161-F161</f>
        <v>90.300000000000011</v>
      </c>
      <c r="H161" s="27"/>
    </row>
    <row r="162" spans="1:8" x14ac:dyDescent="0.25">
      <c r="A162" s="39">
        <v>46146</v>
      </c>
      <c r="B162" s="27"/>
      <c r="C162" s="27"/>
      <c r="D162" s="27" t="s">
        <v>125</v>
      </c>
      <c r="E162" s="42"/>
      <c r="F162" s="42">
        <v>5</v>
      </c>
      <c r="G162" s="42">
        <f t="shared" si="15"/>
        <v>85.300000000000011</v>
      </c>
      <c r="H162" s="27"/>
    </row>
    <row r="163" spans="1:8" x14ac:dyDescent="0.25">
      <c r="A163" s="39">
        <v>46146</v>
      </c>
      <c r="B163" s="27"/>
      <c r="C163" s="27"/>
      <c r="D163" s="27" t="s">
        <v>163</v>
      </c>
      <c r="E163" s="42"/>
      <c r="F163" s="42">
        <v>10</v>
      </c>
      <c r="G163" s="42">
        <f t="shared" si="15"/>
        <v>75.300000000000011</v>
      </c>
      <c r="H163" s="27"/>
    </row>
    <row r="164" spans="1:8" x14ac:dyDescent="0.25">
      <c r="A164" s="39">
        <v>46147</v>
      </c>
      <c r="B164" s="27"/>
      <c r="C164" s="27"/>
      <c r="D164" s="27" t="s">
        <v>422</v>
      </c>
      <c r="E164" s="42"/>
      <c r="F164" s="42">
        <v>0.5</v>
      </c>
      <c r="G164" s="42">
        <f t="shared" si="15"/>
        <v>74.800000000000011</v>
      </c>
      <c r="H164" s="27"/>
    </row>
    <row r="165" spans="1:8" x14ac:dyDescent="0.25">
      <c r="A165" s="39">
        <v>46147</v>
      </c>
      <c r="B165" s="27"/>
      <c r="C165" s="27"/>
      <c r="D165" s="27" t="s">
        <v>106</v>
      </c>
      <c r="E165" s="42"/>
      <c r="F165" s="42">
        <v>0.8</v>
      </c>
      <c r="G165" s="42">
        <f t="shared" si="15"/>
        <v>74.000000000000014</v>
      </c>
      <c r="H165" s="27"/>
    </row>
    <row r="166" spans="1:8" x14ac:dyDescent="0.25">
      <c r="A166" s="39">
        <v>46147</v>
      </c>
      <c r="B166" s="27"/>
      <c r="C166" s="27"/>
      <c r="D166" s="27" t="s">
        <v>424</v>
      </c>
      <c r="E166" s="42"/>
      <c r="F166" s="42">
        <v>0.5</v>
      </c>
      <c r="G166" s="42">
        <f t="shared" si="15"/>
        <v>73.500000000000014</v>
      </c>
      <c r="H166" s="27"/>
    </row>
    <row r="167" spans="1:8" x14ac:dyDescent="0.25">
      <c r="A167" s="39">
        <v>46147</v>
      </c>
      <c r="B167" s="27"/>
      <c r="C167" s="27"/>
      <c r="D167" s="27" t="s">
        <v>261</v>
      </c>
      <c r="E167" s="42"/>
      <c r="F167" s="42">
        <v>2</v>
      </c>
      <c r="G167" s="42">
        <f t="shared" si="15"/>
        <v>71.500000000000014</v>
      </c>
      <c r="H167" s="27"/>
    </row>
    <row r="168" spans="1:8" x14ac:dyDescent="0.25">
      <c r="A168" s="40">
        <v>46148</v>
      </c>
      <c r="B168" s="29">
        <v>167411</v>
      </c>
      <c r="C168" s="29"/>
      <c r="D168" s="29" t="s">
        <v>129</v>
      </c>
      <c r="E168" s="43">
        <v>182</v>
      </c>
      <c r="F168" s="43"/>
      <c r="G168" s="43">
        <f t="shared" si="15"/>
        <v>253.5</v>
      </c>
      <c r="H168" s="29"/>
    </row>
    <row r="169" spans="1:8" x14ac:dyDescent="0.25">
      <c r="A169" s="39">
        <v>46148</v>
      </c>
      <c r="B169" s="27"/>
      <c r="C169" s="27"/>
      <c r="D169" s="27" t="s">
        <v>494</v>
      </c>
      <c r="E169" s="42"/>
      <c r="F169" s="42">
        <v>50</v>
      </c>
      <c r="G169" s="42">
        <f t="shared" si="15"/>
        <v>203.5</v>
      </c>
      <c r="H169" s="27"/>
    </row>
    <row r="170" spans="1:8" x14ac:dyDescent="0.25">
      <c r="A170" s="39">
        <v>46148</v>
      </c>
      <c r="B170" s="27"/>
      <c r="C170" s="27"/>
      <c r="D170" s="27" t="s">
        <v>511</v>
      </c>
      <c r="E170" s="42"/>
      <c r="F170" s="42">
        <v>22</v>
      </c>
      <c r="G170" s="42">
        <f t="shared" si="15"/>
        <v>181.5</v>
      </c>
      <c r="H170" s="27"/>
    </row>
    <row r="171" spans="1:8" x14ac:dyDescent="0.25">
      <c r="A171" s="39">
        <v>46151</v>
      </c>
      <c r="B171" s="27"/>
      <c r="C171" s="27"/>
      <c r="D171" s="27" t="s">
        <v>376</v>
      </c>
      <c r="E171" s="42"/>
      <c r="F171" s="42">
        <v>6.5</v>
      </c>
      <c r="G171" s="42">
        <f t="shared" si="15"/>
        <v>175</v>
      </c>
      <c r="H171" s="27"/>
    </row>
    <row r="172" spans="1:8" x14ac:dyDescent="0.25">
      <c r="A172" s="39">
        <v>46155</v>
      </c>
      <c r="B172" s="27">
        <v>2863</v>
      </c>
      <c r="C172" s="27"/>
      <c r="D172" s="27" t="s">
        <v>376</v>
      </c>
      <c r="E172" s="42"/>
      <c r="F172" s="42">
        <v>40</v>
      </c>
      <c r="G172" s="42">
        <f t="shared" si="15"/>
        <v>135</v>
      </c>
      <c r="H172" s="27"/>
    </row>
    <row r="173" spans="1:8" x14ac:dyDescent="0.25">
      <c r="A173" s="39">
        <v>46156</v>
      </c>
      <c r="B173" s="27"/>
      <c r="C173" s="27"/>
      <c r="D173" s="27" t="s">
        <v>495</v>
      </c>
      <c r="E173" s="42"/>
      <c r="F173" s="42">
        <v>10</v>
      </c>
      <c r="G173" s="42">
        <f t="shared" si="15"/>
        <v>125</v>
      </c>
      <c r="H173" s="27"/>
    </row>
    <row r="174" spans="1:8" x14ac:dyDescent="0.25">
      <c r="A174" s="39">
        <v>46160</v>
      </c>
      <c r="B174" s="27"/>
      <c r="C174" s="27"/>
      <c r="D174" s="27" t="s">
        <v>504</v>
      </c>
      <c r="E174" s="42"/>
      <c r="F174" s="42">
        <v>0.25</v>
      </c>
      <c r="G174" s="42">
        <f t="shared" si="15"/>
        <v>124.75</v>
      </c>
      <c r="H174" s="27"/>
    </row>
    <row r="175" spans="1:8" x14ac:dyDescent="0.25">
      <c r="A175" s="39">
        <v>46161</v>
      </c>
      <c r="B175" s="27"/>
      <c r="C175" s="27"/>
      <c r="D175" s="27" t="s">
        <v>130</v>
      </c>
      <c r="E175" s="42"/>
      <c r="F175" s="42">
        <v>30</v>
      </c>
      <c r="G175" s="42">
        <f t="shared" si="15"/>
        <v>94.75</v>
      </c>
      <c r="H175" s="27"/>
    </row>
    <row r="176" spans="1:8" x14ac:dyDescent="0.25">
      <c r="A176" s="39">
        <v>46162</v>
      </c>
      <c r="B176" s="27"/>
      <c r="C176" s="27"/>
      <c r="D176" s="27" t="s">
        <v>397</v>
      </c>
      <c r="E176" s="42"/>
      <c r="F176" s="42">
        <v>1</v>
      </c>
      <c r="G176" s="42">
        <f t="shared" si="15"/>
        <v>93.75</v>
      </c>
      <c r="H176" s="27"/>
    </row>
    <row r="177" spans="1:8" x14ac:dyDescent="0.25">
      <c r="A177" s="39">
        <v>46162</v>
      </c>
      <c r="B177" s="27"/>
      <c r="C177" s="27"/>
      <c r="D177" s="27" t="s">
        <v>507</v>
      </c>
      <c r="E177" s="42"/>
      <c r="F177" s="42">
        <v>0.5</v>
      </c>
      <c r="G177" s="42">
        <f t="shared" si="15"/>
        <v>93.25</v>
      </c>
      <c r="H177" s="27"/>
    </row>
    <row r="178" spans="1:8" x14ac:dyDescent="0.25">
      <c r="A178" s="39">
        <v>46163</v>
      </c>
      <c r="B178" s="27"/>
      <c r="C178" s="27"/>
      <c r="D178" s="27" t="s">
        <v>17</v>
      </c>
      <c r="E178" s="42"/>
      <c r="F178" s="42">
        <v>1</v>
      </c>
      <c r="G178" s="42">
        <f t="shared" si="15"/>
        <v>92.25</v>
      </c>
      <c r="H178" s="27"/>
    </row>
    <row r="179" spans="1:8" x14ac:dyDescent="0.25">
      <c r="A179" s="39">
        <v>46175</v>
      </c>
      <c r="B179" s="27"/>
      <c r="C179" s="27">
        <v>64478</v>
      </c>
      <c r="D179" s="27" t="s">
        <v>88</v>
      </c>
      <c r="E179" s="42"/>
      <c r="F179" s="42">
        <v>50</v>
      </c>
      <c r="G179" s="42">
        <f t="shared" si="15"/>
        <v>42.25</v>
      </c>
      <c r="H179" s="27"/>
    </row>
    <row r="180" spans="1:8" s="126" customFormat="1" x14ac:dyDescent="0.25">
      <c r="A180" s="40">
        <v>46175</v>
      </c>
      <c r="B180" s="29">
        <v>167420</v>
      </c>
      <c r="C180" s="29"/>
      <c r="D180" s="29"/>
      <c r="E180" s="43">
        <v>182</v>
      </c>
      <c r="F180" s="43"/>
      <c r="G180" s="43">
        <f t="shared" si="15"/>
        <v>224.25</v>
      </c>
      <c r="H180" s="29"/>
    </row>
    <row r="181" spans="1:8" x14ac:dyDescent="0.25">
      <c r="A181" s="39">
        <v>46177</v>
      </c>
      <c r="B181" s="27"/>
      <c r="C181" s="27">
        <v>64480</v>
      </c>
      <c r="D181" s="27" t="s">
        <v>529</v>
      </c>
      <c r="E181" s="42"/>
      <c r="F181" s="42">
        <v>20</v>
      </c>
      <c r="G181" s="42">
        <f t="shared" si="15"/>
        <v>204.25</v>
      </c>
      <c r="H181" s="27"/>
    </row>
    <row r="182" spans="1:8" x14ac:dyDescent="0.25">
      <c r="A182" s="39">
        <v>46177</v>
      </c>
      <c r="B182" s="27"/>
      <c r="C182" s="27"/>
      <c r="D182" s="27" t="s">
        <v>83</v>
      </c>
      <c r="E182" s="42"/>
      <c r="F182" s="42">
        <v>1</v>
      </c>
      <c r="G182" s="42">
        <f t="shared" ref="G182:G184" si="16">G181+E182-F182</f>
        <v>203.25</v>
      </c>
      <c r="H182" s="27"/>
    </row>
    <row r="183" spans="1:8" x14ac:dyDescent="0.25">
      <c r="A183" s="39"/>
      <c r="B183" s="27"/>
      <c r="C183" s="27"/>
      <c r="D183" s="27"/>
      <c r="E183" s="42"/>
      <c r="F183" s="42"/>
      <c r="G183" s="42">
        <f t="shared" si="16"/>
        <v>203.25</v>
      </c>
      <c r="H183" s="27"/>
    </row>
    <row r="184" spans="1:8" x14ac:dyDescent="0.25">
      <c r="A184" s="39"/>
      <c r="B184" s="27"/>
      <c r="C184" s="27"/>
      <c r="D184" s="27"/>
      <c r="E184" s="42"/>
      <c r="F184" s="42"/>
      <c r="G184" s="42">
        <f t="shared" si="16"/>
        <v>203.25</v>
      </c>
      <c r="H184" s="27"/>
    </row>
    <row r="185" spans="1:8" x14ac:dyDescent="0.25">
      <c r="A185" s="39"/>
      <c r="B185" s="27"/>
      <c r="C185" s="27"/>
      <c r="D185" s="27"/>
      <c r="E185" s="42"/>
      <c r="F185" s="42"/>
      <c r="G185" s="42">
        <f t="shared" ref="G185:G201" si="17">G184+E185-F185</f>
        <v>203.25</v>
      </c>
      <c r="H185" s="27"/>
    </row>
    <row r="186" spans="1:8" x14ac:dyDescent="0.25">
      <c r="A186" s="39"/>
      <c r="B186" s="27"/>
      <c r="C186" s="27"/>
      <c r="D186" s="27"/>
      <c r="E186" s="42"/>
      <c r="F186" s="42"/>
      <c r="G186" s="42">
        <f t="shared" si="17"/>
        <v>203.25</v>
      </c>
      <c r="H186" s="27"/>
    </row>
    <row r="187" spans="1:8" x14ac:dyDescent="0.25">
      <c r="A187" s="39"/>
      <c r="B187" s="27"/>
      <c r="C187" s="27"/>
      <c r="D187" s="27"/>
      <c r="E187" s="42"/>
      <c r="F187" s="42"/>
      <c r="G187" s="42">
        <f t="shared" si="17"/>
        <v>203.25</v>
      </c>
      <c r="H187" s="27"/>
    </row>
    <row r="188" spans="1:8" x14ac:dyDescent="0.25">
      <c r="A188" s="39"/>
      <c r="B188" s="27"/>
      <c r="C188" s="27"/>
      <c r="D188" s="27"/>
      <c r="E188" s="42"/>
      <c r="F188" s="42"/>
      <c r="G188" s="42">
        <f t="shared" si="17"/>
        <v>203.25</v>
      </c>
      <c r="H188" s="27"/>
    </row>
    <row r="189" spans="1:8" x14ac:dyDescent="0.25">
      <c r="A189" s="39"/>
      <c r="B189" s="27"/>
      <c r="C189" s="27"/>
      <c r="D189" s="27"/>
      <c r="E189" s="42"/>
      <c r="F189" s="42"/>
      <c r="G189" s="42">
        <f t="shared" si="17"/>
        <v>203.25</v>
      </c>
      <c r="H189" s="27"/>
    </row>
    <row r="190" spans="1:8" x14ac:dyDescent="0.25">
      <c r="A190" s="39"/>
      <c r="B190" s="27"/>
      <c r="C190" s="27"/>
      <c r="D190" s="27"/>
      <c r="E190" s="42"/>
      <c r="F190" s="42"/>
      <c r="G190" s="42">
        <f t="shared" si="17"/>
        <v>203.25</v>
      </c>
      <c r="H190" s="27"/>
    </row>
    <row r="191" spans="1:8" x14ac:dyDescent="0.25">
      <c r="A191" s="39"/>
      <c r="B191" s="27"/>
      <c r="C191" s="27"/>
      <c r="D191" s="27"/>
      <c r="E191" s="42"/>
      <c r="F191" s="42"/>
      <c r="G191" s="42">
        <f t="shared" si="17"/>
        <v>203.25</v>
      </c>
      <c r="H191" s="27"/>
    </row>
    <row r="192" spans="1:8" x14ac:dyDescent="0.25">
      <c r="A192" s="39"/>
      <c r="B192" s="27"/>
      <c r="C192" s="27"/>
      <c r="D192" s="27"/>
      <c r="E192" s="42"/>
      <c r="F192" s="42"/>
      <c r="G192" s="42">
        <f t="shared" si="17"/>
        <v>203.25</v>
      </c>
      <c r="H192" s="27"/>
    </row>
    <row r="193" spans="1:8" x14ac:dyDescent="0.25">
      <c r="A193" s="39"/>
      <c r="B193" s="27"/>
      <c r="C193" s="27"/>
      <c r="D193" s="27"/>
      <c r="E193" s="42"/>
      <c r="F193" s="42"/>
      <c r="G193" s="42">
        <f t="shared" si="17"/>
        <v>203.25</v>
      </c>
      <c r="H193" s="27"/>
    </row>
    <row r="194" spans="1:8" x14ac:dyDescent="0.25">
      <c r="A194" s="39"/>
      <c r="B194" s="27"/>
      <c r="C194" s="27"/>
      <c r="D194" s="27"/>
      <c r="E194" s="42"/>
      <c r="F194" s="42"/>
      <c r="G194" s="42">
        <f t="shared" si="17"/>
        <v>203.25</v>
      </c>
      <c r="H194" s="27"/>
    </row>
    <row r="195" spans="1:8" x14ac:dyDescent="0.25">
      <c r="A195" s="39"/>
      <c r="B195" s="27"/>
      <c r="C195" s="27"/>
      <c r="D195" s="27"/>
      <c r="E195" s="42"/>
      <c r="F195" s="42"/>
      <c r="G195" s="42">
        <f t="shared" si="17"/>
        <v>203.25</v>
      </c>
      <c r="H195" s="27"/>
    </row>
    <row r="196" spans="1:8" x14ac:dyDescent="0.25">
      <c r="A196" s="39"/>
      <c r="B196" s="27"/>
      <c r="C196" s="27"/>
      <c r="D196" s="27"/>
      <c r="E196" s="42"/>
      <c r="F196" s="42"/>
      <c r="G196" s="42">
        <f t="shared" si="17"/>
        <v>203.25</v>
      </c>
      <c r="H196" s="27"/>
    </row>
    <row r="197" spans="1:8" x14ac:dyDescent="0.25">
      <c r="A197" s="39"/>
      <c r="B197" s="27"/>
      <c r="C197" s="27"/>
      <c r="D197" s="27"/>
      <c r="E197" s="42"/>
      <c r="F197" s="42"/>
      <c r="G197" s="42">
        <f t="shared" si="17"/>
        <v>203.25</v>
      </c>
      <c r="H197" s="27"/>
    </row>
    <row r="198" spans="1:8" x14ac:dyDescent="0.25">
      <c r="A198" s="39"/>
      <c r="B198" s="27"/>
      <c r="C198" s="27"/>
      <c r="D198" s="27"/>
      <c r="E198" s="42"/>
      <c r="F198" s="42"/>
      <c r="G198" s="42">
        <f t="shared" si="17"/>
        <v>203.25</v>
      </c>
      <c r="H198" s="27"/>
    </row>
    <row r="199" spans="1:8" x14ac:dyDescent="0.25">
      <c r="A199" s="39"/>
      <c r="B199" s="27"/>
      <c r="C199" s="27"/>
      <c r="D199" s="27"/>
      <c r="E199" s="42"/>
      <c r="F199" s="42"/>
      <c r="G199" s="42">
        <f t="shared" si="17"/>
        <v>203.25</v>
      </c>
      <c r="H199" s="27"/>
    </row>
    <row r="200" spans="1:8" x14ac:dyDescent="0.25">
      <c r="A200" s="39"/>
      <c r="B200" s="27"/>
      <c r="C200" s="27"/>
      <c r="D200" s="27"/>
      <c r="E200" s="42"/>
      <c r="F200" s="42"/>
      <c r="G200" s="42">
        <f t="shared" si="17"/>
        <v>203.25</v>
      </c>
      <c r="H200" s="27"/>
    </row>
    <row r="201" spans="1:8" x14ac:dyDescent="0.25">
      <c r="A201" s="39"/>
      <c r="B201" s="27"/>
      <c r="C201" s="27"/>
      <c r="D201" s="27"/>
      <c r="E201" s="42"/>
      <c r="F201" s="42"/>
      <c r="G201" s="42">
        <f t="shared" si="17"/>
        <v>203.25</v>
      </c>
      <c r="H201" s="27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4"/>
  <sheetViews>
    <sheetView topLeftCell="A295" zoomScaleNormal="100" workbookViewId="0">
      <pane ySplit="1620" topLeftCell="A303" activePane="bottomLeft"/>
      <selection activeCell="E295" sqref="E1:G1048576"/>
      <selection pane="bottomLeft" activeCell="L323" sqref="L323"/>
    </sheetView>
  </sheetViews>
  <sheetFormatPr defaultRowHeight="16.5" x14ac:dyDescent="0.25"/>
  <cols>
    <col min="1" max="1" width="11.28515625" style="57" customWidth="1"/>
    <col min="2" max="3" width="9.140625" style="57"/>
    <col min="4" max="4" width="21.5703125" style="139" customWidth="1"/>
    <col min="5" max="7" width="10" style="61" bestFit="1" customWidth="1"/>
    <col min="8" max="16384" width="9.140625" style="57"/>
  </cols>
  <sheetData>
    <row r="1" spans="1:8" x14ac:dyDescent="0.25">
      <c r="A1" s="57" t="s">
        <v>0</v>
      </c>
    </row>
    <row r="2" spans="1:8" x14ac:dyDescent="0.25">
      <c r="A2" s="57" t="s">
        <v>1</v>
      </c>
    </row>
    <row r="3" spans="1:8" x14ac:dyDescent="0.25">
      <c r="A3" s="57" t="s">
        <v>2</v>
      </c>
    </row>
    <row r="4" spans="1:8" x14ac:dyDescent="0.25">
      <c r="A4" s="57" t="s">
        <v>3</v>
      </c>
    </row>
    <row r="6" spans="1:8" x14ac:dyDescent="0.25">
      <c r="A6" s="59" t="s">
        <v>4</v>
      </c>
      <c r="B6" s="59" t="s">
        <v>6</v>
      </c>
      <c r="C6" s="59" t="s">
        <v>5</v>
      </c>
      <c r="D6" s="69" t="s">
        <v>7</v>
      </c>
      <c r="E6" s="62" t="s">
        <v>8</v>
      </c>
      <c r="F6" s="62" t="s">
        <v>9</v>
      </c>
      <c r="G6" s="62" t="s">
        <v>10</v>
      </c>
      <c r="H6" s="59" t="s">
        <v>11</v>
      </c>
    </row>
    <row r="7" spans="1:8" x14ac:dyDescent="0.25">
      <c r="A7" s="60">
        <v>45916</v>
      </c>
      <c r="B7" s="59">
        <v>6494</v>
      </c>
      <c r="C7" s="59"/>
      <c r="D7" s="69"/>
      <c r="E7" s="62"/>
      <c r="F7" s="62"/>
      <c r="G7" s="62">
        <v>21.6</v>
      </c>
      <c r="H7" s="59"/>
    </row>
    <row r="8" spans="1:8" x14ac:dyDescent="0.25">
      <c r="A8" s="60">
        <v>45917</v>
      </c>
      <c r="B8" s="59"/>
      <c r="C8" s="59"/>
      <c r="D8" s="69" t="s">
        <v>186</v>
      </c>
      <c r="E8" s="62"/>
      <c r="F8" s="62">
        <v>1</v>
      </c>
      <c r="G8" s="62">
        <f>G7+E8-F8</f>
        <v>20.6</v>
      </c>
      <c r="H8" s="59"/>
    </row>
    <row r="9" spans="1:8" x14ac:dyDescent="0.25">
      <c r="A9" s="60">
        <v>45917</v>
      </c>
      <c r="B9" s="59"/>
      <c r="C9" s="59"/>
      <c r="D9" s="69" t="s">
        <v>176</v>
      </c>
      <c r="E9" s="62"/>
      <c r="F9" s="62">
        <v>2</v>
      </c>
      <c r="G9" s="62">
        <f t="shared" ref="G9:G16" si="0">G8+E9-F9</f>
        <v>18.600000000000001</v>
      </c>
      <c r="H9" s="59"/>
    </row>
    <row r="10" spans="1:8" x14ac:dyDescent="0.25">
      <c r="A10" s="60">
        <v>45918</v>
      </c>
      <c r="B10" s="59"/>
      <c r="C10" s="59"/>
      <c r="D10" s="69" t="s">
        <v>72</v>
      </c>
      <c r="E10" s="62"/>
      <c r="F10" s="62">
        <v>2.5</v>
      </c>
      <c r="G10" s="62">
        <f t="shared" si="0"/>
        <v>16.100000000000001</v>
      </c>
      <c r="H10" s="59"/>
    </row>
    <row r="11" spans="1:8" x14ac:dyDescent="0.25">
      <c r="A11" s="60">
        <v>45918</v>
      </c>
      <c r="B11" s="59"/>
      <c r="C11" s="59"/>
      <c r="D11" s="69" t="s">
        <v>177</v>
      </c>
      <c r="E11" s="62"/>
      <c r="F11" s="62">
        <v>3</v>
      </c>
      <c r="G11" s="62">
        <f t="shared" si="0"/>
        <v>13.100000000000001</v>
      </c>
      <c r="H11" s="59"/>
    </row>
    <row r="12" spans="1:8" x14ac:dyDescent="0.25">
      <c r="A12" s="60">
        <v>45919</v>
      </c>
      <c r="B12" s="59"/>
      <c r="C12" s="59"/>
      <c r="D12" s="69" t="s">
        <v>139</v>
      </c>
      <c r="E12" s="62"/>
      <c r="F12" s="62">
        <v>3</v>
      </c>
      <c r="G12" s="62">
        <f t="shared" si="0"/>
        <v>10.100000000000001</v>
      </c>
      <c r="H12" s="59"/>
    </row>
    <row r="13" spans="1:8" x14ac:dyDescent="0.25">
      <c r="A13" s="60">
        <v>45922</v>
      </c>
      <c r="B13" s="59"/>
      <c r="C13" s="59"/>
      <c r="D13" s="69" t="s">
        <v>161</v>
      </c>
      <c r="E13" s="62"/>
      <c r="F13" s="62">
        <v>2</v>
      </c>
      <c r="G13" s="62">
        <f t="shared" si="0"/>
        <v>8.1000000000000014</v>
      </c>
      <c r="H13" s="59"/>
    </row>
    <row r="14" spans="1:8" x14ac:dyDescent="0.25">
      <c r="A14" s="60">
        <v>45923</v>
      </c>
      <c r="B14" s="59"/>
      <c r="C14" s="59"/>
      <c r="D14" s="69" t="s">
        <v>187</v>
      </c>
      <c r="E14" s="62"/>
      <c r="F14" s="62">
        <v>1</v>
      </c>
      <c r="G14" s="62">
        <f t="shared" si="0"/>
        <v>7.1000000000000014</v>
      </c>
      <c r="H14" s="59"/>
    </row>
    <row r="15" spans="1:8" x14ac:dyDescent="0.25">
      <c r="A15" s="60">
        <v>45923</v>
      </c>
      <c r="B15" s="59"/>
      <c r="C15" s="59"/>
      <c r="D15" s="69" t="s">
        <v>188</v>
      </c>
      <c r="E15" s="62"/>
      <c r="F15" s="62">
        <v>1.5</v>
      </c>
      <c r="G15" s="62">
        <f t="shared" si="0"/>
        <v>5.6000000000000014</v>
      </c>
      <c r="H15" s="59"/>
    </row>
    <row r="16" spans="1:8" x14ac:dyDescent="0.25">
      <c r="A16" s="60">
        <v>45923</v>
      </c>
      <c r="B16" s="59"/>
      <c r="C16" s="59"/>
      <c r="D16" s="69" t="s">
        <v>181</v>
      </c>
      <c r="E16" s="62"/>
      <c r="F16" s="62">
        <v>2</v>
      </c>
      <c r="G16" s="62">
        <f t="shared" si="0"/>
        <v>3.6000000000000014</v>
      </c>
      <c r="H16" s="59"/>
    </row>
    <row r="17" spans="1:8" x14ac:dyDescent="0.25">
      <c r="A17" s="60">
        <v>45924</v>
      </c>
      <c r="B17" s="59"/>
      <c r="C17" s="59"/>
      <c r="D17" s="69" t="s">
        <v>189</v>
      </c>
      <c r="E17" s="62"/>
      <c r="F17" s="62">
        <v>1</v>
      </c>
      <c r="G17" s="62">
        <f t="shared" ref="G17:G25" si="1">G16+E17-F17</f>
        <v>2.6000000000000014</v>
      </c>
      <c r="H17" s="59"/>
    </row>
    <row r="18" spans="1:8" x14ac:dyDescent="0.25">
      <c r="A18" s="60">
        <v>45924</v>
      </c>
      <c r="B18" s="59"/>
      <c r="C18" s="59"/>
      <c r="D18" s="69" t="s">
        <v>156</v>
      </c>
      <c r="E18" s="62"/>
      <c r="F18" s="62">
        <v>1</v>
      </c>
      <c r="G18" s="62">
        <f t="shared" si="1"/>
        <v>1.6000000000000014</v>
      </c>
      <c r="H18" s="59"/>
    </row>
    <row r="19" spans="1:8" x14ac:dyDescent="0.25">
      <c r="A19" s="60">
        <v>45924</v>
      </c>
      <c r="B19" s="59"/>
      <c r="C19" s="59"/>
      <c r="D19" s="69" t="s">
        <v>188</v>
      </c>
      <c r="E19" s="62"/>
      <c r="F19" s="62">
        <v>1.6</v>
      </c>
      <c r="G19" s="62">
        <f t="shared" si="1"/>
        <v>0</v>
      </c>
      <c r="H19" s="59"/>
    </row>
    <row r="20" spans="1:8" x14ac:dyDescent="0.25">
      <c r="A20" s="74">
        <v>45926</v>
      </c>
      <c r="B20" s="72"/>
      <c r="C20" s="72"/>
      <c r="D20" s="140"/>
      <c r="E20" s="73">
        <v>10</v>
      </c>
      <c r="F20" s="73"/>
      <c r="G20" s="73">
        <f t="shared" si="1"/>
        <v>10</v>
      </c>
      <c r="H20" s="72"/>
    </row>
    <row r="21" spans="1:8" x14ac:dyDescent="0.25">
      <c r="A21" s="60">
        <v>45926</v>
      </c>
      <c r="B21" s="59"/>
      <c r="C21" s="59"/>
      <c r="D21" s="69" t="s">
        <v>26</v>
      </c>
      <c r="E21" s="62"/>
      <c r="F21" s="62">
        <v>1</v>
      </c>
      <c r="G21" s="62">
        <f t="shared" si="1"/>
        <v>9</v>
      </c>
      <c r="H21" s="59"/>
    </row>
    <row r="22" spans="1:8" x14ac:dyDescent="0.25">
      <c r="A22" s="60">
        <v>45926</v>
      </c>
      <c r="B22" s="59"/>
      <c r="C22" s="59"/>
      <c r="D22" s="69" t="s">
        <v>181</v>
      </c>
      <c r="E22" s="62"/>
      <c r="F22" s="62">
        <v>1</v>
      </c>
      <c r="G22" s="62">
        <f t="shared" si="1"/>
        <v>8</v>
      </c>
      <c r="H22" s="59"/>
    </row>
    <row r="23" spans="1:8" x14ac:dyDescent="0.25">
      <c r="A23" s="60">
        <v>45926</v>
      </c>
      <c r="B23" s="59"/>
      <c r="C23" s="59"/>
      <c r="D23" s="69" t="s">
        <v>26</v>
      </c>
      <c r="E23" s="62"/>
      <c r="F23" s="62">
        <v>2</v>
      </c>
      <c r="G23" s="62">
        <f t="shared" si="1"/>
        <v>6</v>
      </c>
      <c r="H23" s="59"/>
    </row>
    <row r="24" spans="1:8" x14ac:dyDescent="0.25">
      <c r="A24" s="60">
        <v>45926</v>
      </c>
      <c r="B24" s="59"/>
      <c r="C24" s="59"/>
      <c r="D24" s="69" t="s">
        <v>190</v>
      </c>
      <c r="E24" s="62"/>
      <c r="F24" s="62">
        <v>0.5</v>
      </c>
      <c r="G24" s="62">
        <f t="shared" si="1"/>
        <v>5.5</v>
      </c>
      <c r="H24" s="59"/>
    </row>
    <row r="25" spans="1:8" x14ac:dyDescent="0.25">
      <c r="A25" s="60">
        <v>45926</v>
      </c>
      <c r="B25" s="59"/>
      <c r="C25" s="59"/>
      <c r="D25" s="69" t="s">
        <v>26</v>
      </c>
      <c r="E25" s="62"/>
      <c r="F25" s="62">
        <v>1</v>
      </c>
      <c r="G25" s="62">
        <f t="shared" si="1"/>
        <v>4.5</v>
      </c>
      <c r="H25" s="59"/>
    </row>
    <row r="26" spans="1:8" x14ac:dyDescent="0.25">
      <c r="A26" s="60">
        <v>45927</v>
      </c>
      <c r="B26" s="59"/>
      <c r="C26" s="59"/>
      <c r="D26" s="69" t="s">
        <v>26</v>
      </c>
      <c r="E26" s="62"/>
      <c r="F26" s="62">
        <v>2</v>
      </c>
      <c r="G26" s="62">
        <f t="shared" ref="G26:G34" si="2">G25+E26-F26</f>
        <v>2.5</v>
      </c>
      <c r="H26" s="59"/>
    </row>
    <row r="27" spans="1:8" x14ac:dyDescent="0.25">
      <c r="A27" s="60">
        <v>45927</v>
      </c>
      <c r="B27" s="59"/>
      <c r="C27" s="59"/>
      <c r="D27" s="69" t="s">
        <v>191</v>
      </c>
      <c r="E27" s="62"/>
      <c r="F27" s="62">
        <v>2</v>
      </c>
      <c r="G27" s="62">
        <f t="shared" si="2"/>
        <v>0.5</v>
      </c>
      <c r="H27" s="59"/>
    </row>
    <row r="28" spans="1:8" x14ac:dyDescent="0.25">
      <c r="A28" s="60">
        <v>45927</v>
      </c>
      <c r="B28" s="59"/>
      <c r="C28" s="59"/>
      <c r="D28" s="69" t="s">
        <v>181</v>
      </c>
      <c r="E28" s="62"/>
      <c r="F28" s="62">
        <v>0.5</v>
      </c>
      <c r="G28" s="62">
        <f t="shared" si="2"/>
        <v>0</v>
      </c>
      <c r="H28" s="59"/>
    </row>
    <row r="29" spans="1:8" x14ac:dyDescent="0.25">
      <c r="A29" s="74">
        <v>45927</v>
      </c>
      <c r="B29" s="72"/>
      <c r="C29" s="72"/>
      <c r="D29" s="140" t="s">
        <v>235</v>
      </c>
      <c r="E29" s="73">
        <v>10</v>
      </c>
      <c r="F29" s="73"/>
      <c r="G29" s="73">
        <f t="shared" si="2"/>
        <v>10</v>
      </c>
      <c r="H29" s="72"/>
    </row>
    <row r="30" spans="1:8" x14ac:dyDescent="0.25">
      <c r="A30" s="60">
        <v>45928</v>
      </c>
      <c r="B30" s="59"/>
      <c r="C30" s="59"/>
      <c r="D30" s="69" t="s">
        <v>192</v>
      </c>
      <c r="E30" s="62"/>
      <c r="F30" s="62">
        <v>1</v>
      </c>
      <c r="G30" s="62">
        <f t="shared" si="2"/>
        <v>9</v>
      </c>
      <c r="H30" s="59"/>
    </row>
    <row r="31" spans="1:8" x14ac:dyDescent="0.25">
      <c r="A31" s="60">
        <v>45929</v>
      </c>
      <c r="B31" s="59"/>
      <c r="C31" s="59"/>
      <c r="D31" s="69" t="s">
        <v>18</v>
      </c>
      <c r="E31" s="62"/>
      <c r="F31" s="62">
        <v>1</v>
      </c>
      <c r="G31" s="62">
        <f t="shared" si="2"/>
        <v>8</v>
      </c>
      <c r="H31" s="59"/>
    </row>
    <row r="32" spans="1:8" x14ac:dyDescent="0.25">
      <c r="A32" s="60">
        <v>45932</v>
      </c>
      <c r="B32" s="59"/>
      <c r="C32" s="59"/>
      <c r="D32" s="69" t="s">
        <v>176</v>
      </c>
      <c r="E32" s="62"/>
      <c r="F32" s="62">
        <v>2</v>
      </c>
      <c r="G32" s="62">
        <f t="shared" si="2"/>
        <v>6</v>
      </c>
      <c r="H32" s="59"/>
    </row>
    <row r="33" spans="1:8" x14ac:dyDescent="0.25">
      <c r="A33" s="60">
        <v>45933</v>
      </c>
      <c r="B33" s="59"/>
      <c r="C33" s="59"/>
      <c r="D33" s="69" t="s">
        <v>193</v>
      </c>
      <c r="E33" s="62"/>
      <c r="F33" s="62">
        <v>2</v>
      </c>
      <c r="G33" s="62">
        <f t="shared" si="2"/>
        <v>4</v>
      </c>
      <c r="H33" s="59"/>
    </row>
    <row r="34" spans="1:8" x14ac:dyDescent="0.25">
      <c r="A34" s="60">
        <v>45934</v>
      </c>
      <c r="B34" s="59"/>
      <c r="C34" s="59"/>
      <c r="D34" s="69" t="s">
        <v>194</v>
      </c>
      <c r="E34" s="62"/>
      <c r="F34" s="62">
        <v>1</v>
      </c>
      <c r="G34" s="62">
        <f t="shared" si="2"/>
        <v>3</v>
      </c>
      <c r="H34" s="59"/>
    </row>
    <row r="35" spans="1:8" x14ac:dyDescent="0.25">
      <c r="A35" s="60">
        <v>45934</v>
      </c>
      <c r="B35" s="59"/>
      <c r="C35" s="59"/>
      <c r="D35" s="69" t="s">
        <v>166</v>
      </c>
      <c r="E35" s="62"/>
      <c r="F35" s="62">
        <v>2</v>
      </c>
      <c r="G35" s="62">
        <f t="shared" ref="G35:G78" si="3">G34+E35-F35</f>
        <v>1</v>
      </c>
      <c r="H35" s="59"/>
    </row>
    <row r="36" spans="1:8" x14ac:dyDescent="0.25">
      <c r="A36" s="60">
        <v>45935</v>
      </c>
      <c r="B36" s="59"/>
      <c r="C36" s="59"/>
      <c r="D36" s="69" t="s">
        <v>185</v>
      </c>
      <c r="E36" s="62"/>
      <c r="F36" s="62">
        <v>1</v>
      </c>
      <c r="G36" s="62">
        <f t="shared" si="3"/>
        <v>0</v>
      </c>
      <c r="H36" s="59"/>
    </row>
    <row r="37" spans="1:8" x14ac:dyDescent="0.25">
      <c r="A37" s="74">
        <v>45935</v>
      </c>
      <c r="B37" s="72"/>
      <c r="C37" s="72"/>
      <c r="D37" s="140" t="s">
        <v>235</v>
      </c>
      <c r="E37" s="73">
        <v>20.6</v>
      </c>
      <c r="F37" s="73"/>
      <c r="G37" s="73">
        <f t="shared" si="3"/>
        <v>20.6</v>
      </c>
      <c r="H37" s="72"/>
    </row>
    <row r="38" spans="1:8" x14ac:dyDescent="0.25">
      <c r="A38" s="60">
        <v>45937</v>
      </c>
      <c r="B38" s="59"/>
      <c r="C38" s="59"/>
      <c r="D38" s="69" t="s">
        <v>202</v>
      </c>
      <c r="E38" s="62"/>
      <c r="F38" s="62">
        <v>2</v>
      </c>
      <c r="G38" s="62">
        <f t="shared" si="3"/>
        <v>18.600000000000001</v>
      </c>
      <c r="H38" s="59"/>
    </row>
    <row r="39" spans="1:8" x14ac:dyDescent="0.25">
      <c r="A39" s="60">
        <v>45940</v>
      </c>
      <c r="B39" s="59"/>
      <c r="C39" s="59"/>
      <c r="D39" s="69" t="s">
        <v>73</v>
      </c>
      <c r="E39" s="62"/>
      <c r="F39" s="62">
        <v>2</v>
      </c>
      <c r="G39" s="62">
        <f t="shared" si="3"/>
        <v>16.600000000000001</v>
      </c>
      <c r="H39" s="59"/>
    </row>
    <row r="40" spans="1:8" x14ac:dyDescent="0.25">
      <c r="A40" s="60">
        <v>45940</v>
      </c>
      <c r="B40" s="59"/>
      <c r="C40" s="59"/>
      <c r="D40" s="69" t="s">
        <v>73</v>
      </c>
      <c r="E40" s="62"/>
      <c r="F40" s="62">
        <v>2</v>
      </c>
      <c r="G40" s="62">
        <f t="shared" si="3"/>
        <v>14.600000000000001</v>
      </c>
      <c r="H40" s="59"/>
    </row>
    <row r="41" spans="1:8" x14ac:dyDescent="0.25">
      <c r="A41" s="60">
        <v>45940</v>
      </c>
      <c r="B41" s="59"/>
      <c r="C41" s="59"/>
      <c r="D41" s="69" t="s">
        <v>17</v>
      </c>
      <c r="E41" s="62"/>
      <c r="F41" s="62">
        <v>1.6</v>
      </c>
      <c r="G41" s="62">
        <f t="shared" si="3"/>
        <v>13.000000000000002</v>
      </c>
      <c r="H41" s="59"/>
    </row>
    <row r="42" spans="1:8" x14ac:dyDescent="0.25">
      <c r="A42" s="60">
        <v>45942</v>
      </c>
      <c r="B42" s="59"/>
      <c r="C42" s="59"/>
      <c r="D42" s="69" t="s">
        <v>61</v>
      </c>
      <c r="E42" s="62"/>
      <c r="F42" s="62">
        <v>2</v>
      </c>
      <c r="G42" s="62">
        <f t="shared" si="3"/>
        <v>11.000000000000002</v>
      </c>
      <c r="H42" s="59"/>
    </row>
    <row r="43" spans="1:8" x14ac:dyDescent="0.25">
      <c r="A43" s="60">
        <v>45942</v>
      </c>
      <c r="B43" s="59"/>
      <c r="C43" s="59"/>
      <c r="D43" s="69" t="s">
        <v>90</v>
      </c>
      <c r="E43" s="62"/>
      <c r="F43" s="62">
        <v>2</v>
      </c>
      <c r="G43" s="62">
        <f t="shared" si="3"/>
        <v>9.0000000000000018</v>
      </c>
      <c r="H43" s="59"/>
    </row>
    <row r="44" spans="1:8" x14ac:dyDescent="0.25">
      <c r="A44" s="60">
        <v>45944</v>
      </c>
      <c r="B44" s="59"/>
      <c r="C44" s="59"/>
      <c r="D44" s="69" t="s">
        <v>107</v>
      </c>
      <c r="E44" s="62"/>
      <c r="F44" s="62">
        <v>1.5</v>
      </c>
      <c r="G44" s="62">
        <f t="shared" si="3"/>
        <v>7.5000000000000018</v>
      </c>
      <c r="H44" s="59"/>
    </row>
    <row r="45" spans="1:8" x14ac:dyDescent="0.25">
      <c r="A45" s="60">
        <v>45944</v>
      </c>
      <c r="B45" s="59"/>
      <c r="C45" s="59"/>
      <c r="D45" s="69" t="s">
        <v>96</v>
      </c>
      <c r="E45" s="62"/>
      <c r="F45" s="62">
        <v>3</v>
      </c>
      <c r="G45" s="62">
        <f t="shared" si="3"/>
        <v>4.5000000000000018</v>
      </c>
      <c r="H45" s="59"/>
    </row>
    <row r="46" spans="1:8" x14ac:dyDescent="0.25">
      <c r="A46" s="60">
        <v>45945</v>
      </c>
      <c r="B46" s="59"/>
      <c r="C46" s="59"/>
      <c r="D46" s="69" t="s">
        <v>224</v>
      </c>
      <c r="E46" s="62"/>
      <c r="F46" s="62">
        <v>1.5</v>
      </c>
      <c r="G46" s="62">
        <f t="shared" si="3"/>
        <v>3.0000000000000018</v>
      </c>
      <c r="H46" s="59"/>
    </row>
    <row r="47" spans="1:8" x14ac:dyDescent="0.25">
      <c r="A47" s="60">
        <v>45946</v>
      </c>
      <c r="B47" s="59"/>
      <c r="C47" s="59"/>
      <c r="D47" s="69" t="s">
        <v>206</v>
      </c>
      <c r="E47" s="62"/>
      <c r="F47" s="62">
        <v>1</v>
      </c>
      <c r="G47" s="62">
        <f t="shared" si="3"/>
        <v>2.0000000000000018</v>
      </c>
      <c r="H47" s="59"/>
    </row>
    <row r="48" spans="1:8" x14ac:dyDescent="0.25">
      <c r="A48" s="60">
        <v>45946</v>
      </c>
      <c r="B48" s="59"/>
      <c r="C48" s="59"/>
      <c r="D48" s="69" t="s">
        <v>166</v>
      </c>
      <c r="E48" s="62"/>
      <c r="F48" s="62">
        <v>2</v>
      </c>
      <c r="G48" s="62">
        <f t="shared" si="3"/>
        <v>0</v>
      </c>
      <c r="H48" s="59"/>
    </row>
    <row r="49" spans="1:8" x14ac:dyDescent="0.25">
      <c r="A49" s="74">
        <v>45946</v>
      </c>
      <c r="B49" s="72"/>
      <c r="C49" s="72"/>
      <c r="D49" s="140" t="s">
        <v>235</v>
      </c>
      <c r="E49" s="73">
        <v>22</v>
      </c>
      <c r="F49" s="73"/>
      <c r="G49" s="73">
        <f t="shared" si="3"/>
        <v>22</v>
      </c>
      <c r="H49" s="72"/>
    </row>
    <row r="50" spans="1:8" x14ac:dyDescent="0.25">
      <c r="A50" s="60">
        <v>45948</v>
      </c>
      <c r="B50" s="59"/>
      <c r="C50" s="59"/>
      <c r="D50" s="69" t="s">
        <v>166</v>
      </c>
      <c r="E50" s="62"/>
      <c r="F50" s="62">
        <v>4</v>
      </c>
      <c r="G50" s="62">
        <f t="shared" si="3"/>
        <v>18</v>
      </c>
      <c r="H50" s="59"/>
    </row>
    <row r="51" spans="1:8" x14ac:dyDescent="0.25">
      <c r="A51" s="60">
        <v>45948</v>
      </c>
      <c r="B51" s="59"/>
      <c r="C51" s="59"/>
      <c r="D51" s="69" t="s">
        <v>225</v>
      </c>
      <c r="E51" s="62"/>
      <c r="F51" s="62">
        <v>1</v>
      </c>
      <c r="G51" s="62">
        <f t="shared" si="3"/>
        <v>17</v>
      </c>
      <c r="H51" s="59"/>
    </row>
    <row r="52" spans="1:8" x14ac:dyDescent="0.25">
      <c r="A52" s="60">
        <v>45949</v>
      </c>
      <c r="B52" s="59"/>
      <c r="C52" s="59"/>
      <c r="D52" s="69" t="s">
        <v>226</v>
      </c>
      <c r="E52" s="62"/>
      <c r="F52" s="62">
        <v>3.5</v>
      </c>
      <c r="G52" s="62">
        <f t="shared" si="3"/>
        <v>13.5</v>
      </c>
      <c r="H52" s="59"/>
    </row>
    <row r="53" spans="1:8" x14ac:dyDescent="0.25">
      <c r="A53" s="60">
        <v>45950</v>
      </c>
      <c r="B53" s="59"/>
      <c r="C53" s="59"/>
      <c r="D53" s="69" t="s">
        <v>82</v>
      </c>
      <c r="E53" s="62"/>
      <c r="F53" s="62">
        <v>2</v>
      </c>
      <c r="G53" s="62">
        <f t="shared" si="3"/>
        <v>11.5</v>
      </c>
      <c r="H53" s="59"/>
    </row>
    <row r="54" spans="1:8" x14ac:dyDescent="0.25">
      <c r="A54" s="60">
        <v>45950</v>
      </c>
      <c r="B54" s="59"/>
      <c r="C54" s="59"/>
      <c r="D54" s="69" t="s">
        <v>166</v>
      </c>
      <c r="E54" s="62"/>
      <c r="F54" s="62">
        <v>4</v>
      </c>
      <c r="G54" s="62">
        <f t="shared" si="3"/>
        <v>7.5</v>
      </c>
      <c r="H54" s="59"/>
    </row>
    <row r="55" spans="1:8" x14ac:dyDescent="0.25">
      <c r="A55" s="60">
        <v>45951</v>
      </c>
      <c r="B55" s="59"/>
      <c r="C55" s="59"/>
      <c r="D55" s="69" t="s">
        <v>207</v>
      </c>
      <c r="E55" s="62"/>
      <c r="F55" s="62">
        <v>2</v>
      </c>
      <c r="G55" s="62">
        <f t="shared" si="3"/>
        <v>5.5</v>
      </c>
      <c r="H55" s="59"/>
    </row>
    <row r="56" spans="1:8" x14ac:dyDescent="0.25">
      <c r="A56" s="60">
        <v>45952</v>
      </c>
      <c r="B56" s="59"/>
      <c r="C56" s="59"/>
      <c r="D56" s="69" t="s">
        <v>227</v>
      </c>
      <c r="E56" s="62"/>
      <c r="F56" s="62">
        <v>1.5</v>
      </c>
      <c r="G56" s="62">
        <f t="shared" si="3"/>
        <v>4</v>
      </c>
      <c r="H56" s="59"/>
    </row>
    <row r="57" spans="1:8" x14ac:dyDescent="0.25">
      <c r="A57" s="60">
        <v>45953</v>
      </c>
      <c r="B57" s="59"/>
      <c r="C57" s="59"/>
      <c r="D57" s="69" t="s">
        <v>166</v>
      </c>
      <c r="E57" s="62"/>
      <c r="F57" s="62">
        <v>1</v>
      </c>
      <c r="G57" s="62">
        <f t="shared" si="3"/>
        <v>3</v>
      </c>
      <c r="H57" s="59"/>
    </row>
    <row r="58" spans="1:8" x14ac:dyDescent="0.25">
      <c r="A58" s="60">
        <v>45955</v>
      </c>
      <c r="B58" s="59"/>
      <c r="C58" s="59"/>
      <c r="D58" s="69" t="s">
        <v>19</v>
      </c>
      <c r="E58" s="62"/>
      <c r="F58" s="62">
        <v>1.5</v>
      </c>
      <c r="G58" s="62">
        <f t="shared" si="3"/>
        <v>1.5</v>
      </c>
      <c r="H58" s="59"/>
    </row>
    <row r="59" spans="1:8" x14ac:dyDescent="0.25">
      <c r="A59" s="60">
        <v>45955</v>
      </c>
      <c r="B59" s="59"/>
      <c r="C59" s="59"/>
      <c r="D59" s="69" t="s">
        <v>19</v>
      </c>
      <c r="E59" s="62"/>
      <c r="F59" s="62">
        <v>1.5</v>
      </c>
      <c r="G59" s="62">
        <f t="shared" si="3"/>
        <v>0</v>
      </c>
      <c r="H59" s="59"/>
    </row>
    <row r="60" spans="1:8" x14ac:dyDescent="0.25">
      <c r="A60" s="74">
        <v>45955</v>
      </c>
      <c r="B60" s="72"/>
      <c r="C60" s="72"/>
      <c r="D60" s="140" t="s">
        <v>235</v>
      </c>
      <c r="E60" s="73">
        <v>20</v>
      </c>
      <c r="F60" s="73"/>
      <c r="G60" s="73">
        <f t="shared" si="3"/>
        <v>20</v>
      </c>
      <c r="H60" s="72"/>
    </row>
    <row r="61" spans="1:8" x14ac:dyDescent="0.25">
      <c r="A61" s="60">
        <v>45960</v>
      </c>
      <c r="B61" s="59"/>
      <c r="C61" s="59"/>
      <c r="D61" s="69" t="s">
        <v>228</v>
      </c>
      <c r="E61" s="62"/>
      <c r="F61" s="62">
        <v>1.5</v>
      </c>
      <c r="G61" s="62">
        <f t="shared" si="3"/>
        <v>18.5</v>
      </c>
      <c r="H61" s="59"/>
    </row>
    <row r="62" spans="1:8" x14ac:dyDescent="0.25">
      <c r="A62" s="60">
        <v>45960</v>
      </c>
      <c r="B62" s="59"/>
      <c r="C62" s="59"/>
      <c r="D62" s="69" t="s">
        <v>19</v>
      </c>
      <c r="E62" s="62"/>
      <c r="F62" s="62">
        <v>2</v>
      </c>
      <c r="G62" s="62">
        <f t="shared" si="3"/>
        <v>16.5</v>
      </c>
      <c r="H62" s="59"/>
    </row>
    <row r="63" spans="1:8" x14ac:dyDescent="0.25">
      <c r="A63" s="60">
        <v>45961</v>
      </c>
      <c r="B63" s="59"/>
      <c r="C63" s="59"/>
      <c r="D63" s="69" t="s">
        <v>229</v>
      </c>
      <c r="E63" s="62"/>
      <c r="F63" s="62">
        <v>1.5</v>
      </c>
      <c r="G63" s="62">
        <f t="shared" si="3"/>
        <v>15</v>
      </c>
      <c r="H63" s="59"/>
    </row>
    <row r="64" spans="1:8" x14ac:dyDescent="0.25">
      <c r="A64" s="60">
        <v>45961</v>
      </c>
      <c r="B64" s="59"/>
      <c r="C64" s="59"/>
      <c r="D64" s="69" t="s">
        <v>87</v>
      </c>
      <c r="E64" s="62"/>
      <c r="F64" s="62">
        <v>4</v>
      </c>
      <c r="G64" s="62">
        <f t="shared" si="3"/>
        <v>11</v>
      </c>
      <c r="H64" s="59"/>
    </row>
    <row r="65" spans="1:8" x14ac:dyDescent="0.25">
      <c r="A65" s="60">
        <v>45961</v>
      </c>
      <c r="B65" s="59"/>
      <c r="C65" s="59"/>
      <c r="D65" s="69" t="s">
        <v>166</v>
      </c>
      <c r="E65" s="62"/>
      <c r="F65" s="62">
        <v>3</v>
      </c>
      <c r="G65" s="62">
        <f t="shared" si="3"/>
        <v>8</v>
      </c>
      <c r="H65" s="59"/>
    </row>
    <row r="66" spans="1:8" x14ac:dyDescent="0.25">
      <c r="A66" s="60">
        <v>45961</v>
      </c>
      <c r="B66" s="59"/>
      <c r="C66" s="59"/>
      <c r="D66" s="69" t="s">
        <v>70</v>
      </c>
      <c r="E66" s="62"/>
      <c r="F66" s="62">
        <v>1</v>
      </c>
      <c r="G66" s="62">
        <f t="shared" si="3"/>
        <v>7</v>
      </c>
      <c r="H66" s="59"/>
    </row>
    <row r="67" spans="1:8" x14ac:dyDescent="0.25">
      <c r="A67" s="60">
        <v>45966</v>
      </c>
      <c r="B67" s="59"/>
      <c r="C67" s="59"/>
      <c r="D67" s="69" t="s">
        <v>226</v>
      </c>
      <c r="E67" s="62"/>
      <c r="F67" s="62">
        <v>2</v>
      </c>
      <c r="G67" s="62">
        <f t="shared" si="3"/>
        <v>5</v>
      </c>
      <c r="H67" s="59"/>
    </row>
    <row r="68" spans="1:8" x14ac:dyDescent="0.25">
      <c r="A68" s="60">
        <v>45966</v>
      </c>
      <c r="B68" s="59"/>
      <c r="C68" s="59"/>
      <c r="D68" s="69" t="s">
        <v>230</v>
      </c>
      <c r="E68" s="62"/>
      <c r="F68" s="62">
        <v>2</v>
      </c>
      <c r="G68" s="62">
        <f t="shared" si="3"/>
        <v>3</v>
      </c>
      <c r="H68" s="59"/>
    </row>
    <row r="69" spans="1:8" x14ac:dyDescent="0.25">
      <c r="A69" s="60">
        <v>45968</v>
      </c>
      <c r="B69" s="59"/>
      <c r="C69" s="59"/>
      <c r="D69" s="69" t="s">
        <v>231</v>
      </c>
      <c r="E69" s="62"/>
      <c r="F69" s="62">
        <v>1.5</v>
      </c>
      <c r="G69" s="62">
        <f t="shared" si="3"/>
        <v>1.5</v>
      </c>
      <c r="H69" s="59"/>
    </row>
    <row r="70" spans="1:8" x14ac:dyDescent="0.25">
      <c r="A70" s="60">
        <v>45968</v>
      </c>
      <c r="B70" s="59"/>
      <c r="C70" s="59"/>
      <c r="D70" s="69" t="s">
        <v>232</v>
      </c>
      <c r="E70" s="62"/>
      <c r="F70" s="62">
        <v>1.5</v>
      </c>
      <c r="G70" s="62">
        <f t="shared" si="3"/>
        <v>0</v>
      </c>
      <c r="H70" s="59"/>
    </row>
    <row r="71" spans="1:8" x14ac:dyDescent="0.25">
      <c r="A71" s="74">
        <v>45969</v>
      </c>
      <c r="B71" s="72"/>
      <c r="C71" s="72"/>
      <c r="D71" s="140" t="s">
        <v>235</v>
      </c>
      <c r="E71" s="73">
        <v>20</v>
      </c>
      <c r="F71" s="73"/>
      <c r="G71" s="73">
        <f t="shared" si="3"/>
        <v>20</v>
      </c>
      <c r="H71" s="59"/>
    </row>
    <row r="72" spans="1:8" x14ac:dyDescent="0.25">
      <c r="A72" s="60">
        <v>45970</v>
      </c>
      <c r="B72" s="59"/>
      <c r="C72" s="59"/>
      <c r="D72" s="69" t="s">
        <v>226</v>
      </c>
      <c r="E72" s="62"/>
      <c r="F72" s="62">
        <v>2</v>
      </c>
      <c r="G72" s="62">
        <f t="shared" si="3"/>
        <v>18</v>
      </c>
      <c r="H72" s="59"/>
    </row>
    <row r="73" spans="1:8" x14ac:dyDescent="0.25">
      <c r="A73" s="60">
        <v>45971</v>
      </c>
      <c r="B73" s="59"/>
      <c r="C73" s="59"/>
      <c r="D73" s="69" t="s">
        <v>233</v>
      </c>
      <c r="E73" s="62"/>
      <c r="F73" s="62">
        <v>1.5</v>
      </c>
      <c r="G73" s="62">
        <f t="shared" si="3"/>
        <v>16.5</v>
      </c>
      <c r="H73" s="59"/>
    </row>
    <row r="74" spans="1:8" x14ac:dyDescent="0.25">
      <c r="A74" s="60">
        <v>45971</v>
      </c>
      <c r="B74" s="59"/>
      <c r="C74" s="59"/>
      <c r="D74" s="69" t="s">
        <v>17</v>
      </c>
      <c r="E74" s="62"/>
      <c r="F74" s="62">
        <v>2</v>
      </c>
      <c r="G74" s="62">
        <f t="shared" si="3"/>
        <v>14.5</v>
      </c>
      <c r="H74" s="59"/>
    </row>
    <row r="75" spans="1:8" x14ac:dyDescent="0.25">
      <c r="A75" s="60">
        <v>45972</v>
      </c>
      <c r="B75" s="59"/>
      <c r="C75" s="59"/>
      <c r="D75" s="69" t="s">
        <v>234</v>
      </c>
      <c r="E75" s="62"/>
      <c r="F75" s="62">
        <v>1.5</v>
      </c>
      <c r="G75" s="62">
        <f t="shared" si="3"/>
        <v>13</v>
      </c>
      <c r="H75" s="59"/>
    </row>
    <row r="76" spans="1:8" x14ac:dyDescent="0.25">
      <c r="A76" s="60">
        <v>45972</v>
      </c>
      <c r="B76" s="59"/>
      <c r="C76" s="59"/>
      <c r="D76" s="69" t="s">
        <v>18</v>
      </c>
      <c r="E76" s="62"/>
      <c r="F76" s="62">
        <v>2</v>
      </c>
      <c r="G76" s="62">
        <f t="shared" si="3"/>
        <v>11</v>
      </c>
      <c r="H76" s="59"/>
    </row>
    <row r="77" spans="1:8" x14ac:dyDescent="0.25">
      <c r="A77" s="60">
        <v>45972</v>
      </c>
      <c r="B77" s="59"/>
      <c r="C77" s="59"/>
      <c r="D77" s="69" t="s">
        <v>119</v>
      </c>
      <c r="E77" s="62"/>
      <c r="F77" s="62">
        <v>1</v>
      </c>
      <c r="G77" s="62">
        <f t="shared" si="3"/>
        <v>10</v>
      </c>
      <c r="H77" s="59"/>
    </row>
    <row r="78" spans="1:8" x14ac:dyDescent="0.25">
      <c r="A78" s="60">
        <v>45972</v>
      </c>
      <c r="B78" s="59"/>
      <c r="C78" s="59"/>
      <c r="D78" s="69" t="s">
        <v>119</v>
      </c>
      <c r="E78" s="62"/>
      <c r="F78" s="62">
        <v>2</v>
      </c>
      <c r="G78" s="62">
        <f t="shared" si="3"/>
        <v>8</v>
      </c>
      <c r="H78" s="59"/>
    </row>
    <row r="79" spans="1:8" x14ac:dyDescent="0.25">
      <c r="A79" s="60">
        <v>45973</v>
      </c>
      <c r="B79" s="59"/>
      <c r="C79" s="59"/>
      <c r="D79" s="69" t="s">
        <v>119</v>
      </c>
      <c r="E79" s="62"/>
      <c r="F79" s="62">
        <v>1.5</v>
      </c>
      <c r="G79" s="62">
        <f>G78+E79-F79</f>
        <v>6.5</v>
      </c>
      <c r="H79" s="59"/>
    </row>
    <row r="80" spans="1:8" x14ac:dyDescent="0.25">
      <c r="A80" s="60">
        <v>45974</v>
      </c>
      <c r="B80" s="59"/>
      <c r="C80" s="59"/>
      <c r="D80" s="69" t="s">
        <v>230</v>
      </c>
      <c r="E80" s="62"/>
      <c r="F80" s="62">
        <v>1.5</v>
      </c>
      <c r="G80" s="62">
        <f>G79+E80-F80</f>
        <v>5</v>
      </c>
      <c r="H80" s="59"/>
    </row>
    <row r="81" spans="1:8" x14ac:dyDescent="0.25">
      <c r="A81" s="60">
        <v>45974</v>
      </c>
      <c r="B81" s="59"/>
      <c r="C81" s="59"/>
      <c r="D81" s="69" t="s">
        <v>45</v>
      </c>
      <c r="E81" s="62"/>
      <c r="F81" s="62">
        <v>1</v>
      </c>
      <c r="G81" s="62">
        <f>G80+E81-F81</f>
        <v>4</v>
      </c>
      <c r="H81" s="59"/>
    </row>
    <row r="82" spans="1:8" x14ac:dyDescent="0.25">
      <c r="A82" s="60">
        <v>45974</v>
      </c>
      <c r="B82" s="59"/>
      <c r="C82" s="59"/>
      <c r="D82" s="69" t="s">
        <v>236</v>
      </c>
      <c r="E82" s="62"/>
      <c r="F82" s="62">
        <v>0.5</v>
      </c>
      <c r="G82" s="62">
        <f>G81+E82-F82</f>
        <v>3.5</v>
      </c>
      <c r="H82" s="59"/>
    </row>
    <row r="83" spans="1:8" x14ac:dyDescent="0.25">
      <c r="A83" s="60">
        <v>45974</v>
      </c>
      <c r="B83" s="59"/>
      <c r="C83" s="59"/>
      <c r="D83" s="69" t="s">
        <v>237</v>
      </c>
      <c r="E83" s="62"/>
      <c r="F83" s="62">
        <v>2</v>
      </c>
      <c r="G83" s="62">
        <f t="shared" ref="G83:G90" si="4">G82+E83-F83</f>
        <v>1.5</v>
      </c>
      <c r="H83" s="59"/>
    </row>
    <row r="84" spans="1:8" x14ac:dyDescent="0.25">
      <c r="A84" s="60">
        <v>46340</v>
      </c>
      <c r="B84" s="59"/>
      <c r="C84" s="59"/>
      <c r="D84" s="69" t="s">
        <v>255</v>
      </c>
      <c r="E84" s="62"/>
      <c r="F84" s="62">
        <v>1.5</v>
      </c>
      <c r="G84" s="62">
        <f t="shared" si="4"/>
        <v>0</v>
      </c>
      <c r="H84" s="59"/>
    </row>
    <row r="85" spans="1:8" x14ac:dyDescent="0.25">
      <c r="A85" s="74">
        <v>46341</v>
      </c>
      <c r="B85" s="59"/>
      <c r="C85" s="59"/>
      <c r="D85" s="140" t="s">
        <v>235</v>
      </c>
      <c r="E85" s="73">
        <v>21</v>
      </c>
      <c r="F85" s="62"/>
      <c r="G85" s="73">
        <f t="shared" si="4"/>
        <v>21</v>
      </c>
      <c r="H85" s="59"/>
    </row>
    <row r="86" spans="1:8" x14ac:dyDescent="0.25">
      <c r="A86" s="60">
        <v>46341</v>
      </c>
      <c r="B86" s="59"/>
      <c r="C86" s="59"/>
      <c r="D86" s="69" t="s">
        <v>431</v>
      </c>
      <c r="E86" s="62"/>
      <c r="F86" s="62">
        <v>5</v>
      </c>
      <c r="G86" s="62">
        <f t="shared" si="4"/>
        <v>16</v>
      </c>
      <c r="H86" s="59"/>
    </row>
    <row r="87" spans="1:8" x14ac:dyDescent="0.25">
      <c r="A87" s="60">
        <v>46341</v>
      </c>
      <c r="B87" s="59"/>
      <c r="C87" s="59"/>
      <c r="D87" s="69" t="s">
        <v>187</v>
      </c>
      <c r="E87" s="62"/>
      <c r="F87" s="62">
        <v>1</v>
      </c>
      <c r="G87" s="62">
        <f t="shared" si="4"/>
        <v>15</v>
      </c>
      <c r="H87" s="59"/>
    </row>
    <row r="88" spans="1:8" x14ac:dyDescent="0.25">
      <c r="A88" s="60">
        <v>46341</v>
      </c>
      <c r="B88" s="59"/>
      <c r="C88" s="59"/>
      <c r="D88" s="69" t="s">
        <v>431</v>
      </c>
      <c r="E88" s="62"/>
      <c r="F88" s="62">
        <v>1</v>
      </c>
      <c r="G88" s="62">
        <f t="shared" si="4"/>
        <v>14</v>
      </c>
      <c r="H88" s="59"/>
    </row>
    <row r="89" spans="1:8" x14ac:dyDescent="0.25">
      <c r="A89" s="60">
        <v>46341</v>
      </c>
      <c r="B89" s="59"/>
      <c r="C89" s="59"/>
      <c r="D89" s="69" t="s">
        <v>432</v>
      </c>
      <c r="E89" s="62"/>
      <c r="F89" s="62">
        <v>1</v>
      </c>
      <c r="G89" s="62">
        <f t="shared" si="4"/>
        <v>13</v>
      </c>
      <c r="H89" s="59"/>
    </row>
    <row r="90" spans="1:8" x14ac:dyDescent="0.25">
      <c r="A90" s="60">
        <v>46342</v>
      </c>
      <c r="B90" s="59"/>
      <c r="C90" s="59"/>
      <c r="D90" s="69" t="s">
        <v>119</v>
      </c>
      <c r="E90" s="62"/>
      <c r="F90" s="62">
        <v>1</v>
      </c>
      <c r="G90" s="62">
        <f t="shared" si="4"/>
        <v>12</v>
      </c>
      <c r="H90" s="59"/>
    </row>
    <row r="91" spans="1:8" x14ac:dyDescent="0.25">
      <c r="A91" s="60">
        <v>46342</v>
      </c>
      <c r="B91" s="59"/>
      <c r="C91" s="59"/>
      <c r="D91" s="69" t="s">
        <v>433</v>
      </c>
      <c r="E91" s="62"/>
      <c r="F91" s="62">
        <v>0.5</v>
      </c>
      <c r="G91" s="62">
        <f t="shared" ref="G91:G131" si="5">G90+E91-F91</f>
        <v>11.5</v>
      </c>
      <c r="H91" s="59"/>
    </row>
    <row r="92" spans="1:8" x14ac:dyDescent="0.25">
      <c r="A92" s="60">
        <v>46342</v>
      </c>
      <c r="B92" s="59"/>
      <c r="C92" s="59"/>
      <c r="D92" s="69" t="s">
        <v>250</v>
      </c>
      <c r="E92" s="62"/>
      <c r="F92" s="62">
        <v>2</v>
      </c>
      <c r="G92" s="62">
        <f t="shared" si="5"/>
        <v>9.5</v>
      </c>
      <c r="H92" s="59"/>
    </row>
    <row r="93" spans="1:8" x14ac:dyDescent="0.25">
      <c r="A93" s="60">
        <v>46342</v>
      </c>
      <c r="B93" s="59"/>
      <c r="C93" s="59"/>
      <c r="D93" s="69" t="s">
        <v>433</v>
      </c>
      <c r="E93" s="62"/>
      <c r="F93" s="62">
        <v>1.5</v>
      </c>
      <c r="G93" s="62">
        <f t="shared" si="5"/>
        <v>8</v>
      </c>
      <c r="H93" s="59"/>
    </row>
    <row r="94" spans="1:8" x14ac:dyDescent="0.25">
      <c r="A94" s="60">
        <v>46343</v>
      </c>
      <c r="B94" s="59"/>
      <c r="C94" s="59"/>
      <c r="D94" s="69" t="s">
        <v>119</v>
      </c>
      <c r="E94" s="62"/>
      <c r="F94" s="62">
        <v>1</v>
      </c>
      <c r="G94" s="62">
        <f t="shared" si="5"/>
        <v>7</v>
      </c>
      <c r="H94" s="59"/>
    </row>
    <row r="95" spans="1:8" x14ac:dyDescent="0.25">
      <c r="A95" s="60">
        <v>46343</v>
      </c>
      <c r="B95" s="59"/>
      <c r="C95" s="59"/>
      <c r="D95" s="69" t="s">
        <v>239</v>
      </c>
      <c r="E95" s="62"/>
      <c r="F95" s="62">
        <v>2</v>
      </c>
      <c r="G95" s="62">
        <f t="shared" si="5"/>
        <v>5</v>
      </c>
      <c r="H95" s="59"/>
    </row>
    <row r="96" spans="1:8" x14ac:dyDescent="0.25">
      <c r="A96" s="60">
        <v>46344</v>
      </c>
      <c r="B96" s="59"/>
      <c r="C96" s="59"/>
      <c r="D96" s="69" t="s">
        <v>18</v>
      </c>
      <c r="E96" s="62"/>
      <c r="F96" s="62">
        <v>1.5</v>
      </c>
      <c r="G96" s="62">
        <f t="shared" si="5"/>
        <v>3.5</v>
      </c>
      <c r="H96" s="59"/>
    </row>
    <row r="97" spans="1:8" x14ac:dyDescent="0.25">
      <c r="A97" s="60">
        <v>46344</v>
      </c>
      <c r="B97" s="59"/>
      <c r="C97" s="59"/>
      <c r="D97" s="69" t="s">
        <v>61</v>
      </c>
      <c r="E97" s="62"/>
      <c r="F97" s="62">
        <v>2</v>
      </c>
      <c r="G97" s="62">
        <f t="shared" si="5"/>
        <v>1.5</v>
      </c>
      <c r="H97" s="59"/>
    </row>
    <row r="98" spans="1:8" x14ac:dyDescent="0.25">
      <c r="A98" s="60">
        <v>46344</v>
      </c>
      <c r="B98" s="59"/>
      <c r="C98" s="59"/>
      <c r="D98" s="69" t="s">
        <v>402</v>
      </c>
      <c r="E98" s="62"/>
      <c r="F98" s="62">
        <v>1</v>
      </c>
      <c r="G98" s="62">
        <f t="shared" si="5"/>
        <v>0.5</v>
      </c>
      <c r="H98" s="59"/>
    </row>
    <row r="99" spans="1:8" x14ac:dyDescent="0.25">
      <c r="A99" s="60">
        <v>46345</v>
      </c>
      <c r="B99" s="59"/>
      <c r="C99" s="59"/>
      <c r="D99" s="69" t="s">
        <v>213</v>
      </c>
      <c r="E99" s="62"/>
      <c r="F99" s="62">
        <v>0.5</v>
      </c>
      <c r="G99" s="62">
        <f t="shared" si="5"/>
        <v>0</v>
      </c>
      <c r="H99" s="59"/>
    </row>
    <row r="100" spans="1:8" x14ac:dyDescent="0.25">
      <c r="A100" s="121">
        <v>46367</v>
      </c>
      <c r="B100" s="59"/>
      <c r="C100" s="59"/>
      <c r="D100" s="140" t="s">
        <v>434</v>
      </c>
      <c r="E100" s="73">
        <v>21</v>
      </c>
      <c r="F100" s="62"/>
      <c r="G100" s="73">
        <f t="shared" si="5"/>
        <v>21</v>
      </c>
      <c r="H100" s="59"/>
    </row>
    <row r="101" spans="1:8" x14ac:dyDescent="0.25">
      <c r="A101" s="60">
        <v>46367</v>
      </c>
      <c r="B101" s="59"/>
      <c r="C101" s="59"/>
      <c r="D101" s="69" t="s">
        <v>435</v>
      </c>
      <c r="E101" s="62"/>
      <c r="F101" s="62">
        <v>15</v>
      </c>
      <c r="G101" s="62">
        <f t="shared" si="5"/>
        <v>6</v>
      </c>
      <c r="H101" s="59"/>
    </row>
    <row r="102" spans="1:8" x14ac:dyDescent="0.25">
      <c r="A102" s="60">
        <v>46371</v>
      </c>
      <c r="B102" s="60"/>
      <c r="C102" s="59"/>
      <c r="D102" s="69" t="s">
        <v>436</v>
      </c>
      <c r="E102" s="62"/>
      <c r="F102" s="62">
        <v>1.5</v>
      </c>
      <c r="G102" s="62">
        <f t="shared" si="5"/>
        <v>4.5</v>
      </c>
      <c r="H102" s="59"/>
    </row>
    <row r="103" spans="1:8" x14ac:dyDescent="0.25">
      <c r="A103" s="74">
        <v>46373</v>
      </c>
      <c r="B103" s="59"/>
      <c r="C103" s="59"/>
      <c r="D103" s="140" t="s">
        <v>434</v>
      </c>
      <c r="E103" s="73">
        <v>21</v>
      </c>
      <c r="F103" s="62"/>
      <c r="G103" s="73">
        <f t="shared" si="5"/>
        <v>25.5</v>
      </c>
      <c r="H103" s="59"/>
    </row>
    <row r="104" spans="1:8" x14ac:dyDescent="0.25">
      <c r="A104" s="60">
        <v>46373</v>
      </c>
      <c r="B104" s="59"/>
      <c r="C104" s="59"/>
      <c r="D104" s="69" t="s">
        <v>437</v>
      </c>
      <c r="E104" s="62"/>
      <c r="F104" s="62">
        <v>1</v>
      </c>
      <c r="G104" s="62">
        <f t="shared" si="5"/>
        <v>24.5</v>
      </c>
      <c r="H104" s="59"/>
    </row>
    <row r="105" spans="1:8" x14ac:dyDescent="0.25">
      <c r="A105" s="60">
        <v>46373</v>
      </c>
      <c r="B105" s="59"/>
      <c r="C105" s="59"/>
      <c r="D105" s="69" t="s">
        <v>157</v>
      </c>
      <c r="E105" s="62"/>
      <c r="F105" s="62">
        <v>1</v>
      </c>
      <c r="G105" s="62">
        <f t="shared" si="5"/>
        <v>23.5</v>
      </c>
      <c r="H105" s="59"/>
    </row>
    <row r="106" spans="1:8" x14ac:dyDescent="0.25">
      <c r="A106" s="60">
        <v>46375</v>
      </c>
      <c r="B106" s="59"/>
      <c r="C106" s="59"/>
      <c r="D106" s="69" t="s">
        <v>438</v>
      </c>
      <c r="E106" s="62"/>
      <c r="F106" s="62">
        <v>1</v>
      </c>
      <c r="G106" s="62">
        <f t="shared" si="5"/>
        <v>22.5</v>
      </c>
      <c r="H106" s="59"/>
    </row>
    <row r="107" spans="1:8" x14ac:dyDescent="0.25">
      <c r="A107" s="60">
        <v>46376</v>
      </c>
      <c r="B107" s="59"/>
      <c r="C107" s="59"/>
      <c r="D107" s="69" t="s">
        <v>439</v>
      </c>
      <c r="E107" s="62"/>
      <c r="F107" s="62">
        <v>1.5</v>
      </c>
      <c r="G107" s="62">
        <f t="shared" si="5"/>
        <v>21</v>
      </c>
      <c r="H107" s="59"/>
    </row>
    <row r="108" spans="1:8" x14ac:dyDescent="0.25">
      <c r="A108" s="60">
        <v>46376</v>
      </c>
      <c r="B108" s="59"/>
      <c r="C108" s="59"/>
      <c r="D108" s="69" t="s">
        <v>114</v>
      </c>
      <c r="E108" s="62"/>
      <c r="F108" s="62">
        <v>1</v>
      </c>
      <c r="G108" s="62">
        <f t="shared" si="5"/>
        <v>20</v>
      </c>
      <c r="H108" s="59"/>
    </row>
    <row r="109" spans="1:8" x14ac:dyDescent="0.25">
      <c r="A109" s="122">
        <v>46376</v>
      </c>
      <c r="B109" s="59"/>
      <c r="C109" s="59"/>
      <c r="D109" s="69" t="s">
        <v>440</v>
      </c>
      <c r="E109" s="62"/>
      <c r="F109" s="62">
        <v>2</v>
      </c>
      <c r="G109" s="62">
        <f t="shared" si="5"/>
        <v>18</v>
      </c>
      <c r="H109" s="59"/>
    </row>
    <row r="110" spans="1:8" x14ac:dyDescent="0.25">
      <c r="A110" s="60">
        <v>46377</v>
      </c>
      <c r="B110" s="59"/>
      <c r="C110" s="59"/>
      <c r="D110" s="69" t="s">
        <v>441</v>
      </c>
      <c r="E110" s="62"/>
      <c r="F110" s="62">
        <v>1</v>
      </c>
      <c r="G110" s="62">
        <f t="shared" si="5"/>
        <v>17</v>
      </c>
      <c r="H110" s="59"/>
    </row>
    <row r="111" spans="1:8" x14ac:dyDescent="0.25">
      <c r="A111" s="60">
        <v>46378</v>
      </c>
      <c r="B111" s="59"/>
      <c r="C111" s="59"/>
      <c r="D111" s="69" t="s">
        <v>438</v>
      </c>
      <c r="E111" s="62"/>
      <c r="F111" s="62">
        <v>2</v>
      </c>
      <c r="G111" s="62">
        <f t="shared" si="5"/>
        <v>15</v>
      </c>
      <c r="H111" s="59"/>
    </row>
    <row r="112" spans="1:8" x14ac:dyDescent="0.25">
      <c r="A112" s="122">
        <v>46378</v>
      </c>
      <c r="B112" s="59"/>
      <c r="C112" s="59"/>
      <c r="D112" s="69" t="s">
        <v>60</v>
      </c>
      <c r="E112" s="62"/>
      <c r="F112" s="62">
        <v>0.5</v>
      </c>
      <c r="G112" s="62">
        <f t="shared" si="5"/>
        <v>14.5</v>
      </c>
      <c r="H112" s="59"/>
    </row>
    <row r="113" spans="1:8" x14ac:dyDescent="0.25">
      <c r="A113" s="60">
        <v>46378</v>
      </c>
      <c r="B113" s="59"/>
      <c r="C113" s="59"/>
      <c r="D113" s="69" t="s">
        <v>438</v>
      </c>
      <c r="E113" s="62"/>
      <c r="F113" s="62">
        <v>4</v>
      </c>
      <c r="G113" s="62">
        <f t="shared" si="5"/>
        <v>10.5</v>
      </c>
      <c r="H113" s="59"/>
    </row>
    <row r="114" spans="1:8" x14ac:dyDescent="0.25">
      <c r="A114" s="60">
        <v>46379</v>
      </c>
      <c r="B114" s="59"/>
      <c r="C114" s="59"/>
      <c r="D114" s="69" t="s">
        <v>60</v>
      </c>
      <c r="E114" s="62"/>
      <c r="F114" s="62">
        <v>1</v>
      </c>
      <c r="G114" s="62">
        <f t="shared" si="5"/>
        <v>9.5</v>
      </c>
      <c r="H114" s="59"/>
    </row>
    <row r="115" spans="1:8" x14ac:dyDescent="0.25">
      <c r="A115" s="60">
        <v>46380</v>
      </c>
      <c r="B115" s="59"/>
      <c r="C115" s="59"/>
      <c r="D115" s="69" t="s">
        <v>267</v>
      </c>
      <c r="E115" s="62"/>
      <c r="F115" s="62">
        <v>4</v>
      </c>
      <c r="G115" s="62">
        <f t="shared" si="5"/>
        <v>5.5</v>
      </c>
      <c r="H115" s="59"/>
    </row>
    <row r="116" spans="1:8" x14ac:dyDescent="0.25">
      <c r="A116" s="60">
        <v>46383</v>
      </c>
      <c r="B116" s="59"/>
      <c r="C116" s="59"/>
      <c r="D116" s="69" t="s">
        <v>191</v>
      </c>
      <c r="E116" s="62"/>
      <c r="F116" s="62">
        <v>1</v>
      </c>
      <c r="G116" s="62">
        <f t="shared" si="5"/>
        <v>4.5</v>
      </c>
      <c r="H116" s="59"/>
    </row>
    <row r="117" spans="1:8" x14ac:dyDescent="0.25">
      <c r="A117" s="60">
        <v>46383</v>
      </c>
      <c r="B117" s="59"/>
      <c r="C117" s="59"/>
      <c r="D117" s="69" t="s">
        <v>442</v>
      </c>
      <c r="E117" s="62"/>
      <c r="F117" s="62">
        <v>2</v>
      </c>
      <c r="G117" s="62">
        <f t="shared" si="5"/>
        <v>2.5</v>
      </c>
      <c r="H117" s="59"/>
    </row>
    <row r="118" spans="1:8" x14ac:dyDescent="0.25">
      <c r="A118" s="60">
        <v>46384</v>
      </c>
      <c r="B118" s="59"/>
      <c r="C118" s="59"/>
      <c r="D118" s="69" t="s">
        <v>438</v>
      </c>
      <c r="E118" s="62"/>
      <c r="F118" s="62">
        <v>0.5</v>
      </c>
      <c r="G118" s="62">
        <f t="shared" si="5"/>
        <v>2</v>
      </c>
      <c r="H118" s="59"/>
    </row>
    <row r="119" spans="1:8" x14ac:dyDescent="0.25">
      <c r="A119" s="74">
        <v>46385</v>
      </c>
      <c r="B119" s="59"/>
      <c r="C119" s="59"/>
      <c r="D119" s="140" t="s">
        <v>434</v>
      </c>
      <c r="E119" s="73">
        <v>21</v>
      </c>
      <c r="F119" s="62"/>
      <c r="G119" s="73">
        <f t="shared" si="5"/>
        <v>23</v>
      </c>
      <c r="H119" s="59"/>
    </row>
    <row r="120" spans="1:8" x14ac:dyDescent="0.25">
      <c r="A120" s="60">
        <v>46385</v>
      </c>
      <c r="B120" s="59"/>
      <c r="C120" s="59"/>
      <c r="D120" s="69" t="s">
        <v>315</v>
      </c>
      <c r="E120" s="62"/>
      <c r="F120" s="62">
        <v>4</v>
      </c>
      <c r="G120" s="62">
        <f t="shared" si="5"/>
        <v>19</v>
      </c>
      <c r="H120" s="59"/>
    </row>
    <row r="121" spans="1:8" x14ac:dyDescent="0.25">
      <c r="A121" s="60">
        <v>46386</v>
      </c>
      <c r="B121" s="59"/>
      <c r="C121" s="59"/>
      <c r="D121" s="69" t="s">
        <v>438</v>
      </c>
      <c r="E121" s="62"/>
      <c r="F121" s="62">
        <v>2</v>
      </c>
      <c r="G121" s="62">
        <f t="shared" si="5"/>
        <v>17</v>
      </c>
      <c r="H121" s="59"/>
    </row>
    <row r="122" spans="1:8" x14ac:dyDescent="0.25">
      <c r="A122" s="60">
        <v>46387</v>
      </c>
      <c r="B122" s="59"/>
      <c r="C122" s="59"/>
      <c r="D122" s="69" t="s">
        <v>443</v>
      </c>
      <c r="E122" s="62"/>
      <c r="F122" s="62">
        <v>1</v>
      </c>
      <c r="G122" s="62">
        <f t="shared" si="5"/>
        <v>16</v>
      </c>
      <c r="H122" s="59"/>
    </row>
    <row r="123" spans="1:8" x14ac:dyDescent="0.25">
      <c r="A123" s="60">
        <v>46387</v>
      </c>
      <c r="B123" s="59"/>
      <c r="C123" s="59"/>
      <c r="D123" s="69" t="s">
        <v>438</v>
      </c>
      <c r="E123" s="62"/>
      <c r="F123" s="62">
        <v>2</v>
      </c>
      <c r="G123" s="62">
        <f t="shared" si="5"/>
        <v>14</v>
      </c>
      <c r="H123" s="59"/>
    </row>
    <row r="124" spans="1:8" x14ac:dyDescent="0.25">
      <c r="A124" s="60">
        <v>46387</v>
      </c>
      <c r="B124" s="59"/>
      <c r="C124" s="59"/>
      <c r="D124" s="69" t="s">
        <v>436</v>
      </c>
      <c r="E124" s="62"/>
      <c r="F124" s="62">
        <v>1.75</v>
      </c>
      <c r="G124" s="62">
        <f t="shared" si="5"/>
        <v>12.25</v>
      </c>
      <c r="H124" s="59"/>
    </row>
    <row r="125" spans="1:8" x14ac:dyDescent="0.25">
      <c r="A125" s="60">
        <v>46024</v>
      </c>
      <c r="B125" s="59"/>
      <c r="C125" s="59"/>
      <c r="D125" s="69" t="s">
        <v>195</v>
      </c>
      <c r="E125" s="62"/>
      <c r="F125" s="62">
        <v>4</v>
      </c>
      <c r="G125" s="62">
        <f t="shared" si="5"/>
        <v>8.25</v>
      </c>
      <c r="H125" s="59"/>
    </row>
    <row r="126" spans="1:8" x14ac:dyDescent="0.25">
      <c r="A126" s="60">
        <v>46026</v>
      </c>
      <c r="B126" s="59"/>
      <c r="C126" s="59"/>
      <c r="D126" s="69" t="s">
        <v>239</v>
      </c>
      <c r="E126" s="62"/>
      <c r="F126" s="62">
        <v>3</v>
      </c>
      <c r="G126" s="62">
        <f t="shared" si="5"/>
        <v>5.25</v>
      </c>
      <c r="H126" s="59"/>
    </row>
    <row r="127" spans="1:8" x14ac:dyDescent="0.25">
      <c r="A127" s="60">
        <v>46027</v>
      </c>
      <c r="B127" s="59"/>
      <c r="C127" s="59"/>
      <c r="D127" s="69" t="s">
        <v>255</v>
      </c>
      <c r="E127" s="62"/>
      <c r="F127" s="62">
        <v>1</v>
      </c>
      <c r="G127" s="62">
        <f t="shared" si="5"/>
        <v>4.25</v>
      </c>
      <c r="H127" s="59"/>
    </row>
    <row r="128" spans="1:8" x14ac:dyDescent="0.25">
      <c r="A128" s="60">
        <v>46028</v>
      </c>
      <c r="B128" s="59"/>
      <c r="C128" s="59"/>
      <c r="D128" s="69" t="s">
        <v>246</v>
      </c>
      <c r="E128" s="62"/>
      <c r="F128" s="62">
        <v>2</v>
      </c>
      <c r="G128" s="62">
        <f t="shared" si="5"/>
        <v>2.25</v>
      </c>
      <c r="H128" s="59"/>
    </row>
    <row r="129" spans="1:8" x14ac:dyDescent="0.25">
      <c r="A129" s="60">
        <v>46028</v>
      </c>
      <c r="B129" s="59"/>
      <c r="C129" s="59"/>
      <c r="D129" s="69" t="s">
        <v>444</v>
      </c>
      <c r="E129" s="62"/>
      <c r="F129" s="62">
        <v>1</v>
      </c>
      <c r="G129" s="62">
        <f t="shared" si="5"/>
        <v>1.25</v>
      </c>
      <c r="H129" s="59"/>
    </row>
    <row r="130" spans="1:8" x14ac:dyDescent="0.25">
      <c r="A130" s="60">
        <v>46028</v>
      </c>
      <c r="B130" s="59"/>
      <c r="C130" s="59"/>
      <c r="D130" s="69" t="s">
        <v>438</v>
      </c>
      <c r="E130" s="62"/>
      <c r="F130" s="62">
        <v>1</v>
      </c>
      <c r="G130" s="62">
        <f t="shared" si="5"/>
        <v>0.25</v>
      </c>
      <c r="H130" s="59"/>
    </row>
    <row r="131" spans="1:8" x14ac:dyDescent="0.25">
      <c r="A131" s="74">
        <v>46030</v>
      </c>
      <c r="B131" s="59"/>
      <c r="C131" s="59"/>
      <c r="D131" s="140" t="s">
        <v>434</v>
      </c>
      <c r="E131" s="73">
        <v>21</v>
      </c>
      <c r="F131" s="62"/>
      <c r="G131" s="62">
        <f t="shared" si="5"/>
        <v>21.25</v>
      </c>
      <c r="H131" s="59"/>
    </row>
    <row r="132" spans="1:8" x14ac:dyDescent="0.25">
      <c r="A132" s="75">
        <v>46030</v>
      </c>
      <c r="B132" s="59"/>
      <c r="C132" s="59"/>
      <c r="D132" s="141" t="s">
        <v>250</v>
      </c>
      <c r="E132" s="73"/>
      <c r="F132" s="62">
        <v>1</v>
      </c>
      <c r="G132" s="62">
        <f t="shared" ref="G132:G145" si="6">G131+E132-F132</f>
        <v>20.25</v>
      </c>
      <c r="H132" s="59"/>
    </row>
    <row r="133" spans="1:8" x14ac:dyDescent="0.25">
      <c r="A133" s="60">
        <v>46030</v>
      </c>
      <c r="B133" s="59"/>
      <c r="C133" s="59"/>
      <c r="D133" s="69" t="s">
        <v>315</v>
      </c>
      <c r="E133" s="73"/>
      <c r="F133" s="62">
        <v>3</v>
      </c>
      <c r="G133" s="62">
        <f t="shared" si="6"/>
        <v>17.25</v>
      </c>
      <c r="H133" s="59"/>
    </row>
    <row r="134" spans="1:8" x14ac:dyDescent="0.25">
      <c r="A134" s="60">
        <v>46030</v>
      </c>
      <c r="B134" s="59"/>
      <c r="C134" s="59"/>
      <c r="D134" s="141" t="s">
        <v>445</v>
      </c>
      <c r="E134" s="73"/>
      <c r="F134" s="62">
        <v>2.5</v>
      </c>
      <c r="G134" s="62">
        <f t="shared" si="6"/>
        <v>14.75</v>
      </c>
      <c r="H134" s="59"/>
    </row>
    <row r="135" spans="1:8" x14ac:dyDescent="0.25">
      <c r="A135" s="75">
        <v>46031</v>
      </c>
      <c r="B135" s="59"/>
      <c r="C135" s="59"/>
      <c r="D135" s="69" t="s">
        <v>438</v>
      </c>
      <c r="E135" s="73"/>
      <c r="F135" s="62">
        <v>1</v>
      </c>
      <c r="G135" s="62">
        <f t="shared" si="6"/>
        <v>13.75</v>
      </c>
      <c r="H135" s="59"/>
    </row>
    <row r="136" spans="1:8" x14ac:dyDescent="0.25">
      <c r="A136" s="60">
        <v>46031</v>
      </c>
      <c r="B136" s="59"/>
      <c r="C136" s="59"/>
      <c r="D136" s="142" t="s">
        <v>250</v>
      </c>
      <c r="E136" s="73"/>
      <c r="F136" s="62">
        <v>1</v>
      </c>
      <c r="G136" s="62">
        <f t="shared" si="6"/>
        <v>12.75</v>
      </c>
      <c r="H136" s="59"/>
    </row>
    <row r="137" spans="1:8" x14ac:dyDescent="0.25">
      <c r="A137" s="123">
        <v>46031</v>
      </c>
      <c r="B137" s="59"/>
      <c r="C137" s="59"/>
      <c r="D137" s="142" t="s">
        <v>446</v>
      </c>
      <c r="E137" s="73"/>
      <c r="F137" s="62">
        <v>1.5</v>
      </c>
      <c r="G137" s="62">
        <f t="shared" si="6"/>
        <v>11.25</v>
      </c>
      <c r="H137" s="59"/>
    </row>
    <row r="138" spans="1:8" x14ac:dyDescent="0.25">
      <c r="A138" s="123">
        <v>46032</v>
      </c>
      <c r="B138" s="59"/>
      <c r="C138" s="59"/>
      <c r="D138" s="142" t="s">
        <v>447</v>
      </c>
      <c r="E138" s="73"/>
      <c r="F138" s="62">
        <v>4</v>
      </c>
      <c r="G138" s="62">
        <f t="shared" si="6"/>
        <v>7.25</v>
      </c>
      <c r="H138" s="59"/>
    </row>
    <row r="139" spans="1:8" x14ac:dyDescent="0.25">
      <c r="A139" s="123">
        <v>46032</v>
      </c>
      <c r="B139" s="59"/>
      <c r="C139" s="59"/>
      <c r="D139" s="142" t="s">
        <v>303</v>
      </c>
      <c r="E139" s="73"/>
      <c r="F139" s="62">
        <v>1</v>
      </c>
      <c r="G139" s="62">
        <f t="shared" si="6"/>
        <v>6.25</v>
      </c>
      <c r="H139" s="59"/>
    </row>
    <row r="140" spans="1:8" x14ac:dyDescent="0.25">
      <c r="A140" s="123">
        <v>46033</v>
      </c>
      <c r="B140" s="59"/>
      <c r="C140" s="59"/>
      <c r="D140" s="142" t="s">
        <v>303</v>
      </c>
      <c r="E140" s="73"/>
      <c r="F140" s="62">
        <v>2</v>
      </c>
      <c r="G140" s="62">
        <f t="shared" si="6"/>
        <v>4.25</v>
      </c>
      <c r="H140" s="59"/>
    </row>
    <row r="141" spans="1:8" x14ac:dyDescent="0.25">
      <c r="A141" s="123">
        <v>46035</v>
      </c>
      <c r="B141" s="59"/>
      <c r="C141" s="59"/>
      <c r="D141" s="142" t="s">
        <v>315</v>
      </c>
      <c r="E141" s="73"/>
      <c r="F141" s="62">
        <v>3.5</v>
      </c>
      <c r="G141" s="62">
        <f t="shared" si="6"/>
        <v>0.75</v>
      </c>
      <c r="H141" s="59"/>
    </row>
    <row r="142" spans="1:8" x14ac:dyDescent="0.25">
      <c r="A142" s="123">
        <v>46036</v>
      </c>
      <c r="B142" s="59"/>
      <c r="C142" s="59"/>
      <c r="D142" s="142" t="s">
        <v>448</v>
      </c>
      <c r="E142" s="73"/>
      <c r="F142" s="62">
        <v>0.75</v>
      </c>
      <c r="G142" s="62">
        <f t="shared" si="6"/>
        <v>0</v>
      </c>
      <c r="H142" s="59"/>
    </row>
    <row r="143" spans="1:8" x14ac:dyDescent="0.25">
      <c r="A143" s="74">
        <v>46037</v>
      </c>
      <c r="B143" s="59"/>
      <c r="C143" s="59"/>
      <c r="D143" s="140" t="s">
        <v>449</v>
      </c>
      <c r="E143" s="73">
        <v>21</v>
      </c>
      <c r="F143" s="62"/>
      <c r="G143" s="62">
        <f t="shared" si="6"/>
        <v>21</v>
      </c>
      <c r="H143" s="59"/>
    </row>
    <row r="144" spans="1:8" x14ac:dyDescent="0.25">
      <c r="A144" s="60">
        <v>46038</v>
      </c>
      <c r="B144" s="59"/>
      <c r="C144" s="59"/>
      <c r="D144" s="69" t="s">
        <v>307</v>
      </c>
      <c r="E144" s="73"/>
      <c r="F144" s="62">
        <v>1.5</v>
      </c>
      <c r="G144" s="62">
        <f t="shared" si="6"/>
        <v>19.5</v>
      </c>
      <c r="H144" s="59"/>
    </row>
    <row r="145" spans="1:10" x14ac:dyDescent="0.25">
      <c r="A145" s="60">
        <v>46038</v>
      </c>
      <c r="B145" s="59"/>
      <c r="C145" s="59"/>
      <c r="D145" s="69" t="s">
        <v>436</v>
      </c>
      <c r="E145" s="73"/>
      <c r="F145" s="62">
        <v>1.25</v>
      </c>
      <c r="G145" s="62">
        <f t="shared" si="6"/>
        <v>18.25</v>
      </c>
      <c r="H145" s="59"/>
    </row>
    <row r="146" spans="1:10" x14ac:dyDescent="0.25">
      <c r="A146" s="60">
        <v>46038</v>
      </c>
      <c r="B146" s="59"/>
      <c r="C146" s="59"/>
      <c r="D146" s="141" t="s">
        <v>450</v>
      </c>
      <c r="E146" s="73"/>
      <c r="F146" s="62">
        <v>1</v>
      </c>
      <c r="G146" s="62">
        <f t="shared" ref="G146:G170" si="7">G145+E146-F146</f>
        <v>17.25</v>
      </c>
      <c r="H146" s="59"/>
    </row>
    <row r="147" spans="1:10" x14ac:dyDescent="0.25">
      <c r="A147" s="100">
        <v>46038</v>
      </c>
      <c r="B147" s="59"/>
      <c r="C147" s="59"/>
      <c r="D147" s="141" t="s">
        <v>448</v>
      </c>
      <c r="E147" s="73"/>
      <c r="F147" s="62">
        <v>1</v>
      </c>
      <c r="G147" s="62">
        <f t="shared" si="7"/>
        <v>16.25</v>
      </c>
      <c r="H147" s="59"/>
    </row>
    <row r="148" spans="1:10" x14ac:dyDescent="0.25">
      <c r="A148" s="75">
        <v>46039</v>
      </c>
      <c r="B148" s="59"/>
      <c r="C148" s="59"/>
      <c r="D148" s="141" t="s">
        <v>195</v>
      </c>
      <c r="E148" s="73"/>
      <c r="F148" s="62">
        <v>2</v>
      </c>
      <c r="G148" s="62">
        <f t="shared" si="7"/>
        <v>14.25</v>
      </c>
      <c r="H148" s="59"/>
    </row>
    <row r="149" spans="1:10" x14ac:dyDescent="0.25">
      <c r="A149" s="75">
        <v>46039</v>
      </c>
      <c r="B149" s="59"/>
      <c r="C149" s="59"/>
      <c r="D149" s="141" t="s">
        <v>315</v>
      </c>
      <c r="E149" s="73"/>
      <c r="F149" s="62">
        <v>1</v>
      </c>
      <c r="G149" s="62">
        <f t="shared" si="7"/>
        <v>13.25</v>
      </c>
      <c r="H149" s="59"/>
    </row>
    <row r="150" spans="1:10" x14ac:dyDescent="0.25">
      <c r="A150" s="75">
        <v>46039</v>
      </c>
      <c r="B150" s="59"/>
      <c r="C150" s="59"/>
      <c r="D150" s="141" t="s">
        <v>438</v>
      </c>
      <c r="E150" s="73"/>
      <c r="F150" s="62">
        <v>1</v>
      </c>
      <c r="G150" s="62">
        <f t="shared" si="7"/>
        <v>12.25</v>
      </c>
      <c r="H150" s="59"/>
    </row>
    <row r="151" spans="1:10" x14ac:dyDescent="0.25">
      <c r="A151" s="122">
        <v>46039</v>
      </c>
      <c r="B151" s="59"/>
      <c r="C151" s="59"/>
      <c r="D151" s="141" t="s">
        <v>14</v>
      </c>
      <c r="E151" s="73"/>
      <c r="F151" s="62">
        <v>0.5</v>
      </c>
      <c r="G151" s="62">
        <f t="shared" si="7"/>
        <v>11.75</v>
      </c>
      <c r="H151" s="59"/>
    </row>
    <row r="152" spans="1:10" x14ac:dyDescent="0.25">
      <c r="A152" s="122">
        <v>46040</v>
      </c>
      <c r="B152" s="59"/>
      <c r="C152" s="59"/>
      <c r="D152" s="141" t="s">
        <v>143</v>
      </c>
      <c r="E152" s="73"/>
      <c r="F152" s="62">
        <v>1</v>
      </c>
      <c r="G152" s="62">
        <f t="shared" si="7"/>
        <v>10.75</v>
      </c>
      <c r="H152" s="59"/>
    </row>
    <row r="153" spans="1:10" x14ac:dyDescent="0.25">
      <c r="A153" s="75">
        <v>46040</v>
      </c>
      <c r="B153" s="59"/>
      <c r="C153" s="59"/>
      <c r="D153" s="141" t="s">
        <v>452</v>
      </c>
      <c r="E153" s="73"/>
      <c r="F153" s="62">
        <v>1</v>
      </c>
      <c r="G153" s="62">
        <f t="shared" si="7"/>
        <v>9.75</v>
      </c>
      <c r="H153" s="59"/>
    </row>
    <row r="154" spans="1:10" x14ac:dyDescent="0.25">
      <c r="A154" s="75">
        <v>46040</v>
      </c>
      <c r="B154" s="59"/>
      <c r="C154" s="59"/>
      <c r="D154" s="141" t="s">
        <v>438</v>
      </c>
      <c r="E154" s="73"/>
      <c r="F154" s="62">
        <v>1</v>
      </c>
      <c r="G154" s="62">
        <f t="shared" si="7"/>
        <v>8.75</v>
      </c>
      <c r="H154" s="59"/>
    </row>
    <row r="155" spans="1:10" x14ac:dyDescent="0.25">
      <c r="A155" s="75">
        <v>46040</v>
      </c>
      <c r="B155" s="59"/>
      <c r="C155" s="59"/>
      <c r="D155" s="141" t="s">
        <v>143</v>
      </c>
      <c r="E155" s="73"/>
      <c r="F155" s="62">
        <v>1</v>
      </c>
      <c r="G155" s="62">
        <f t="shared" si="7"/>
        <v>7.75</v>
      </c>
      <c r="H155" s="59"/>
      <c r="J155" s="57" t="s">
        <v>451</v>
      </c>
    </row>
    <row r="156" spans="1:10" x14ac:dyDescent="0.25">
      <c r="A156" s="75">
        <v>46041</v>
      </c>
      <c r="B156" s="59"/>
      <c r="C156" s="59"/>
      <c r="D156" s="141" t="s">
        <v>301</v>
      </c>
      <c r="E156" s="73"/>
      <c r="F156" s="62">
        <v>0.5</v>
      </c>
      <c r="G156" s="80">
        <f t="shared" si="7"/>
        <v>7.25</v>
      </c>
      <c r="H156" s="59"/>
    </row>
    <row r="157" spans="1:10" x14ac:dyDescent="0.25">
      <c r="A157" s="75">
        <v>46041</v>
      </c>
      <c r="B157" s="59"/>
      <c r="C157" s="59"/>
      <c r="D157" s="141" t="s">
        <v>116</v>
      </c>
      <c r="E157" s="73"/>
      <c r="F157" s="62">
        <v>3</v>
      </c>
      <c r="G157" s="62">
        <f t="shared" si="7"/>
        <v>4.25</v>
      </c>
      <c r="H157" s="59"/>
    </row>
    <row r="158" spans="1:10" x14ac:dyDescent="0.25">
      <c r="A158" s="75">
        <v>46042</v>
      </c>
      <c r="B158" s="59"/>
      <c r="C158" s="59"/>
      <c r="D158" s="141" t="s">
        <v>317</v>
      </c>
      <c r="E158" s="73"/>
      <c r="F158" s="62">
        <v>2</v>
      </c>
      <c r="G158" s="62">
        <f t="shared" si="7"/>
        <v>2.25</v>
      </c>
      <c r="H158" s="59"/>
    </row>
    <row r="159" spans="1:10" x14ac:dyDescent="0.25">
      <c r="A159" s="75">
        <v>46042</v>
      </c>
      <c r="B159" s="59"/>
      <c r="C159" s="59"/>
      <c r="D159" s="141" t="s">
        <v>67</v>
      </c>
      <c r="E159" s="73"/>
      <c r="F159" s="62">
        <v>0.5</v>
      </c>
      <c r="G159" s="62">
        <f t="shared" si="7"/>
        <v>1.75</v>
      </c>
      <c r="H159" s="59"/>
    </row>
    <row r="160" spans="1:10" x14ac:dyDescent="0.25">
      <c r="A160" s="75">
        <v>46043</v>
      </c>
      <c r="B160" s="59"/>
      <c r="C160" s="59"/>
      <c r="D160" s="141" t="s">
        <v>438</v>
      </c>
      <c r="E160" s="73"/>
      <c r="F160" s="62">
        <v>1</v>
      </c>
      <c r="G160" s="62">
        <f t="shared" si="7"/>
        <v>0.75</v>
      </c>
      <c r="H160" s="59"/>
    </row>
    <row r="161" spans="1:8" x14ac:dyDescent="0.25">
      <c r="A161" s="75">
        <v>46043</v>
      </c>
      <c r="B161" s="59"/>
      <c r="C161" s="59"/>
      <c r="D161" s="141" t="s">
        <v>453</v>
      </c>
      <c r="E161" s="73"/>
      <c r="F161" s="62">
        <v>0.75</v>
      </c>
      <c r="G161" s="62">
        <f t="shared" si="7"/>
        <v>0</v>
      </c>
      <c r="H161" s="59"/>
    </row>
    <row r="162" spans="1:8" x14ac:dyDescent="0.25">
      <c r="A162" s="74">
        <v>46043</v>
      </c>
      <c r="B162" s="59"/>
      <c r="C162" s="59"/>
      <c r="D162" s="140" t="s">
        <v>449</v>
      </c>
      <c r="E162" s="73">
        <v>22</v>
      </c>
      <c r="F162" s="62"/>
      <c r="G162" s="62">
        <f t="shared" si="7"/>
        <v>22</v>
      </c>
      <c r="H162" s="59"/>
    </row>
    <row r="163" spans="1:8" x14ac:dyDescent="0.25">
      <c r="A163" s="75">
        <v>46044</v>
      </c>
      <c r="B163" s="59"/>
      <c r="C163" s="59"/>
      <c r="D163" s="141" t="s">
        <v>454</v>
      </c>
      <c r="E163" s="73"/>
      <c r="F163" s="62">
        <v>3</v>
      </c>
      <c r="G163" s="62">
        <f t="shared" si="7"/>
        <v>19</v>
      </c>
      <c r="H163" s="59"/>
    </row>
    <row r="164" spans="1:8" x14ac:dyDescent="0.25">
      <c r="A164" s="75">
        <v>46044</v>
      </c>
      <c r="B164" s="59"/>
      <c r="C164" s="59"/>
      <c r="D164" s="141" t="s">
        <v>161</v>
      </c>
      <c r="E164" s="73"/>
      <c r="F164" s="62">
        <v>2</v>
      </c>
      <c r="G164" s="62">
        <f t="shared" si="7"/>
        <v>17</v>
      </c>
      <c r="H164" s="59"/>
    </row>
    <row r="165" spans="1:8" x14ac:dyDescent="0.25">
      <c r="A165" s="75">
        <v>46044</v>
      </c>
      <c r="B165" s="59"/>
      <c r="C165" s="59"/>
      <c r="D165" s="141" t="s">
        <v>455</v>
      </c>
      <c r="E165" s="73"/>
      <c r="F165" s="62">
        <v>2</v>
      </c>
      <c r="G165" s="62">
        <f t="shared" si="7"/>
        <v>15</v>
      </c>
      <c r="H165" s="59"/>
    </row>
    <row r="166" spans="1:8" x14ac:dyDescent="0.25">
      <c r="A166" s="75">
        <v>46045</v>
      </c>
      <c r="B166" s="59"/>
      <c r="C166" s="59"/>
      <c r="D166" s="141" t="s">
        <v>438</v>
      </c>
      <c r="E166" s="73"/>
      <c r="F166" s="62">
        <v>2.5</v>
      </c>
      <c r="G166" s="62">
        <f t="shared" si="7"/>
        <v>12.5</v>
      </c>
      <c r="H166" s="59"/>
    </row>
    <row r="167" spans="1:8" x14ac:dyDescent="0.25">
      <c r="A167" s="75">
        <v>46045</v>
      </c>
      <c r="B167" s="59"/>
      <c r="C167" s="59"/>
      <c r="D167" s="141" t="s">
        <v>456</v>
      </c>
      <c r="E167" s="73"/>
      <c r="F167" s="62">
        <v>2</v>
      </c>
      <c r="G167" s="62">
        <f t="shared" si="7"/>
        <v>10.5</v>
      </c>
      <c r="H167" s="59"/>
    </row>
    <row r="168" spans="1:8" x14ac:dyDescent="0.25">
      <c r="A168" s="75">
        <v>46046</v>
      </c>
      <c r="B168" s="59"/>
      <c r="C168" s="59"/>
      <c r="D168" s="141" t="s">
        <v>315</v>
      </c>
      <c r="E168" s="73"/>
      <c r="F168" s="62">
        <v>3</v>
      </c>
      <c r="G168" s="62">
        <f t="shared" si="7"/>
        <v>7.5</v>
      </c>
      <c r="H168" s="59"/>
    </row>
    <row r="169" spans="1:8" x14ac:dyDescent="0.25">
      <c r="A169" s="75">
        <v>46046</v>
      </c>
      <c r="B169" s="59"/>
      <c r="C169" s="59"/>
      <c r="D169" s="141" t="s">
        <v>232</v>
      </c>
      <c r="E169" s="73"/>
      <c r="F169" s="62">
        <v>1</v>
      </c>
      <c r="G169" s="62">
        <f t="shared" si="7"/>
        <v>6.5</v>
      </c>
      <c r="H169" s="59"/>
    </row>
    <row r="170" spans="1:8" x14ac:dyDescent="0.25">
      <c r="A170" s="75">
        <v>46048</v>
      </c>
      <c r="B170" s="78"/>
      <c r="C170" s="78"/>
      <c r="D170" s="141" t="s">
        <v>439</v>
      </c>
      <c r="E170" s="73"/>
      <c r="F170" s="62">
        <v>1</v>
      </c>
      <c r="G170" s="62">
        <f t="shared" si="7"/>
        <v>5.5</v>
      </c>
      <c r="H170" s="59"/>
    </row>
    <row r="171" spans="1:8" x14ac:dyDescent="0.25">
      <c r="A171" s="75">
        <v>46048</v>
      </c>
      <c r="B171" s="78"/>
      <c r="C171" s="78"/>
      <c r="D171" s="141" t="s">
        <v>86</v>
      </c>
      <c r="E171" s="73"/>
      <c r="F171" s="62">
        <v>1</v>
      </c>
      <c r="G171" s="62">
        <f t="shared" ref="G171:G187" si="8">G170+E171-F171</f>
        <v>4.5</v>
      </c>
      <c r="H171" s="59"/>
    </row>
    <row r="172" spans="1:8" x14ac:dyDescent="0.25">
      <c r="A172" s="75">
        <v>46050</v>
      </c>
      <c r="B172" s="78"/>
      <c r="C172" s="78"/>
      <c r="D172" s="141" t="s">
        <v>436</v>
      </c>
      <c r="E172" s="73"/>
      <c r="F172" s="62">
        <v>1.5</v>
      </c>
      <c r="G172" s="62">
        <f t="shared" si="8"/>
        <v>3</v>
      </c>
      <c r="H172" s="59"/>
    </row>
    <row r="173" spans="1:8" x14ac:dyDescent="0.25">
      <c r="A173" s="75">
        <v>46050</v>
      </c>
      <c r="B173" s="78"/>
      <c r="C173" s="78"/>
      <c r="D173" s="141" t="s">
        <v>332</v>
      </c>
      <c r="E173" s="73"/>
      <c r="F173" s="62">
        <v>2</v>
      </c>
      <c r="G173" s="62">
        <f t="shared" si="8"/>
        <v>1</v>
      </c>
      <c r="H173" s="59"/>
    </row>
    <row r="174" spans="1:8" x14ac:dyDescent="0.25">
      <c r="A174" s="74">
        <v>46050</v>
      </c>
      <c r="B174" s="59"/>
      <c r="C174" s="59"/>
      <c r="D174" s="140" t="s">
        <v>457</v>
      </c>
      <c r="E174" s="73">
        <v>22</v>
      </c>
      <c r="F174" s="62"/>
      <c r="G174" s="73">
        <f t="shared" si="8"/>
        <v>23</v>
      </c>
      <c r="H174" s="59"/>
    </row>
    <row r="175" spans="1:8" x14ac:dyDescent="0.25">
      <c r="A175" s="60">
        <v>46050</v>
      </c>
      <c r="B175" s="59"/>
      <c r="C175" s="59"/>
      <c r="D175" s="69" t="s">
        <v>458</v>
      </c>
      <c r="E175" s="62"/>
      <c r="F175" s="62">
        <v>0.5</v>
      </c>
      <c r="G175" s="62">
        <f t="shared" si="8"/>
        <v>22.5</v>
      </c>
      <c r="H175" s="59"/>
    </row>
    <row r="176" spans="1:8" x14ac:dyDescent="0.25">
      <c r="A176" s="60">
        <v>46050</v>
      </c>
      <c r="B176" s="59"/>
      <c r="C176" s="59"/>
      <c r="D176" s="69" t="s">
        <v>438</v>
      </c>
      <c r="E176" s="62"/>
      <c r="F176" s="62">
        <v>1</v>
      </c>
      <c r="G176" s="62">
        <f t="shared" si="8"/>
        <v>21.5</v>
      </c>
      <c r="H176" s="59"/>
    </row>
    <row r="177" spans="1:8" x14ac:dyDescent="0.25">
      <c r="A177" s="60">
        <v>46051</v>
      </c>
      <c r="B177" s="59"/>
      <c r="C177" s="59"/>
      <c r="D177" s="69" t="s">
        <v>90</v>
      </c>
      <c r="E177" s="62"/>
      <c r="F177" s="62">
        <v>1</v>
      </c>
      <c r="G177" s="62">
        <f t="shared" si="8"/>
        <v>20.5</v>
      </c>
      <c r="H177" s="59"/>
    </row>
    <row r="178" spans="1:8" x14ac:dyDescent="0.25">
      <c r="A178" s="60">
        <v>46051</v>
      </c>
      <c r="B178" s="59"/>
      <c r="C178" s="59"/>
      <c r="D178" s="69" t="s">
        <v>328</v>
      </c>
      <c r="E178" s="62"/>
      <c r="F178" s="62">
        <v>1</v>
      </c>
      <c r="G178" s="62">
        <f t="shared" si="8"/>
        <v>19.5</v>
      </c>
      <c r="H178" s="59"/>
    </row>
    <row r="179" spans="1:8" x14ac:dyDescent="0.25">
      <c r="A179" s="60">
        <v>46051</v>
      </c>
      <c r="B179" s="59"/>
      <c r="C179" s="59"/>
      <c r="D179" s="69" t="s">
        <v>459</v>
      </c>
      <c r="E179" s="62"/>
      <c r="F179" s="62">
        <v>0.5</v>
      </c>
      <c r="G179" s="62">
        <f t="shared" si="8"/>
        <v>19</v>
      </c>
      <c r="H179" s="59"/>
    </row>
    <row r="180" spans="1:8" x14ac:dyDescent="0.25">
      <c r="A180" s="60">
        <v>46051</v>
      </c>
      <c r="B180" s="59"/>
      <c r="C180" s="59"/>
      <c r="D180" s="69" t="s">
        <v>315</v>
      </c>
      <c r="E180" s="62"/>
      <c r="F180" s="62">
        <v>1</v>
      </c>
      <c r="G180" s="62">
        <f t="shared" si="8"/>
        <v>18</v>
      </c>
      <c r="H180" s="59"/>
    </row>
    <row r="181" spans="1:8" x14ac:dyDescent="0.25">
      <c r="A181" s="60">
        <v>46052</v>
      </c>
      <c r="B181" s="59"/>
      <c r="C181" s="59"/>
      <c r="D181" s="69" t="s">
        <v>76</v>
      </c>
      <c r="E181" s="62"/>
      <c r="F181" s="62">
        <v>3</v>
      </c>
      <c r="G181" s="62">
        <f t="shared" si="8"/>
        <v>15</v>
      </c>
      <c r="H181" s="59"/>
    </row>
    <row r="182" spans="1:8" x14ac:dyDescent="0.25">
      <c r="A182" s="60">
        <v>46052</v>
      </c>
      <c r="B182" s="59"/>
      <c r="C182" s="59"/>
      <c r="D182" s="69" t="s">
        <v>61</v>
      </c>
      <c r="E182" s="62"/>
      <c r="F182" s="62">
        <v>2</v>
      </c>
      <c r="G182" s="62">
        <f t="shared" si="8"/>
        <v>13</v>
      </c>
      <c r="H182" s="59"/>
    </row>
    <row r="183" spans="1:8" x14ac:dyDescent="0.25">
      <c r="A183" s="60">
        <v>46052</v>
      </c>
      <c r="B183" s="59"/>
      <c r="C183" s="59"/>
      <c r="D183" s="69" t="s">
        <v>315</v>
      </c>
      <c r="E183" s="62"/>
      <c r="F183" s="62">
        <v>1</v>
      </c>
      <c r="G183" s="62">
        <f t="shared" si="8"/>
        <v>12</v>
      </c>
      <c r="H183" s="59"/>
    </row>
    <row r="184" spans="1:8" x14ac:dyDescent="0.25">
      <c r="A184" s="60">
        <v>46052</v>
      </c>
      <c r="B184" s="59"/>
      <c r="C184" s="59"/>
      <c r="D184" s="69" t="s">
        <v>275</v>
      </c>
      <c r="E184" s="62"/>
      <c r="F184" s="62">
        <v>2</v>
      </c>
      <c r="G184" s="62">
        <f t="shared" si="8"/>
        <v>10</v>
      </c>
      <c r="H184" s="59"/>
    </row>
    <row r="185" spans="1:8" x14ac:dyDescent="0.25">
      <c r="A185" s="60">
        <v>46052</v>
      </c>
      <c r="B185" s="59"/>
      <c r="C185" s="59"/>
      <c r="D185" s="69" t="s">
        <v>61</v>
      </c>
      <c r="E185" s="62"/>
      <c r="F185" s="62">
        <v>2</v>
      </c>
      <c r="G185" s="62">
        <f t="shared" si="8"/>
        <v>8</v>
      </c>
      <c r="H185" s="59"/>
    </row>
    <row r="186" spans="1:8" x14ac:dyDescent="0.25">
      <c r="A186" s="60">
        <v>46052</v>
      </c>
      <c r="B186" s="59"/>
      <c r="C186" s="59"/>
      <c r="D186" s="69" t="s">
        <v>275</v>
      </c>
      <c r="E186" s="62"/>
      <c r="F186" s="62">
        <v>1</v>
      </c>
      <c r="G186" s="62">
        <f t="shared" si="8"/>
        <v>7</v>
      </c>
      <c r="H186" s="59"/>
    </row>
    <row r="187" spans="1:8" x14ac:dyDescent="0.25">
      <c r="A187" s="60">
        <v>46053</v>
      </c>
      <c r="B187" s="59"/>
      <c r="C187" s="59"/>
      <c r="D187" s="69" t="s">
        <v>177</v>
      </c>
      <c r="E187" s="62"/>
      <c r="F187" s="62">
        <v>1</v>
      </c>
      <c r="G187" s="62">
        <f t="shared" si="8"/>
        <v>6</v>
      </c>
      <c r="H187" s="59"/>
    </row>
    <row r="188" spans="1:8" x14ac:dyDescent="0.25">
      <c r="A188" s="60">
        <v>46053</v>
      </c>
      <c r="B188" s="59"/>
      <c r="C188" s="59"/>
      <c r="D188" s="69" t="s">
        <v>76</v>
      </c>
      <c r="E188" s="62"/>
      <c r="F188" s="62">
        <v>3</v>
      </c>
      <c r="G188" s="62">
        <f t="shared" ref="G188:G199" si="9">G187+E188-F188</f>
        <v>3</v>
      </c>
      <c r="H188" s="59"/>
    </row>
    <row r="189" spans="1:8" x14ac:dyDescent="0.25">
      <c r="A189" s="60">
        <v>46054</v>
      </c>
      <c r="B189" s="59"/>
      <c r="C189" s="59"/>
      <c r="D189" s="69" t="s">
        <v>76</v>
      </c>
      <c r="E189" s="62"/>
      <c r="F189" s="62">
        <v>2</v>
      </c>
      <c r="G189" s="62">
        <f t="shared" si="9"/>
        <v>1</v>
      </c>
      <c r="H189" s="59"/>
    </row>
    <row r="190" spans="1:8" x14ac:dyDescent="0.25">
      <c r="A190" s="60">
        <v>46055</v>
      </c>
      <c r="B190" s="59"/>
      <c r="C190" s="59"/>
      <c r="D190" s="69" t="s">
        <v>182</v>
      </c>
      <c r="E190" s="62"/>
      <c r="F190" s="62">
        <v>0.5</v>
      </c>
      <c r="G190" s="62">
        <f t="shared" si="9"/>
        <v>0.5</v>
      </c>
      <c r="H190" s="59"/>
    </row>
    <row r="191" spans="1:8" x14ac:dyDescent="0.25">
      <c r="A191" s="60">
        <v>46055</v>
      </c>
      <c r="B191" s="59"/>
      <c r="C191" s="59"/>
      <c r="D191" s="69" t="s">
        <v>60</v>
      </c>
      <c r="E191" s="62"/>
      <c r="F191" s="62">
        <v>0.5</v>
      </c>
      <c r="G191" s="62">
        <f t="shared" si="9"/>
        <v>0</v>
      </c>
      <c r="H191" s="59"/>
    </row>
    <row r="192" spans="1:8" x14ac:dyDescent="0.25">
      <c r="A192" s="74">
        <v>46058</v>
      </c>
      <c r="B192" s="59"/>
      <c r="C192" s="59"/>
      <c r="D192" s="140" t="s">
        <v>457</v>
      </c>
      <c r="E192" s="73">
        <v>21.5</v>
      </c>
      <c r="F192" s="62"/>
      <c r="G192" s="62">
        <f t="shared" si="9"/>
        <v>21.5</v>
      </c>
      <c r="H192" s="59"/>
    </row>
    <row r="193" spans="1:8" x14ac:dyDescent="0.25">
      <c r="A193" s="60">
        <v>46060</v>
      </c>
      <c r="B193" s="59"/>
      <c r="C193" s="59"/>
      <c r="D193" s="69" t="s">
        <v>90</v>
      </c>
      <c r="E193" s="62"/>
      <c r="F193" s="62">
        <v>2</v>
      </c>
      <c r="G193" s="62">
        <f t="shared" si="9"/>
        <v>19.5</v>
      </c>
      <c r="H193" s="59"/>
    </row>
    <row r="194" spans="1:8" x14ac:dyDescent="0.25">
      <c r="A194" s="60">
        <v>46060</v>
      </c>
      <c r="B194" s="59"/>
      <c r="C194" s="59"/>
      <c r="D194" s="69" t="s">
        <v>166</v>
      </c>
      <c r="E194" s="62"/>
      <c r="F194" s="62">
        <v>1</v>
      </c>
      <c r="G194" s="62">
        <f t="shared" si="9"/>
        <v>18.5</v>
      </c>
      <c r="H194" s="59"/>
    </row>
    <row r="195" spans="1:8" x14ac:dyDescent="0.25">
      <c r="A195" s="60">
        <v>46060</v>
      </c>
      <c r="B195" s="59"/>
      <c r="C195" s="59"/>
      <c r="D195" s="69" t="s">
        <v>460</v>
      </c>
      <c r="E195" s="62"/>
      <c r="F195" s="62">
        <v>3</v>
      </c>
      <c r="G195" s="62">
        <f t="shared" si="9"/>
        <v>15.5</v>
      </c>
      <c r="H195" s="59"/>
    </row>
    <row r="196" spans="1:8" x14ac:dyDescent="0.25">
      <c r="A196" s="60">
        <v>46061</v>
      </c>
      <c r="B196" s="59"/>
      <c r="C196" s="59"/>
      <c r="D196" s="69" t="s">
        <v>55</v>
      </c>
      <c r="E196" s="62"/>
      <c r="F196" s="62">
        <v>1</v>
      </c>
      <c r="G196" s="62">
        <f t="shared" si="9"/>
        <v>14.5</v>
      </c>
      <c r="H196" s="59"/>
    </row>
    <row r="197" spans="1:8" x14ac:dyDescent="0.25">
      <c r="A197" s="60">
        <v>46061</v>
      </c>
      <c r="B197" s="59"/>
      <c r="C197" s="59"/>
      <c r="D197" s="69" t="s">
        <v>461</v>
      </c>
      <c r="E197" s="62"/>
      <c r="F197" s="62">
        <v>1</v>
      </c>
      <c r="G197" s="62">
        <f t="shared" si="9"/>
        <v>13.5</v>
      </c>
      <c r="H197" s="59"/>
    </row>
    <row r="198" spans="1:8" x14ac:dyDescent="0.25">
      <c r="A198" s="60">
        <v>46062</v>
      </c>
      <c r="B198" s="59"/>
      <c r="C198" s="59"/>
      <c r="D198" s="69" t="s">
        <v>287</v>
      </c>
      <c r="E198" s="62"/>
      <c r="F198" s="62">
        <v>1</v>
      </c>
      <c r="G198" s="62">
        <f t="shared" si="9"/>
        <v>12.5</v>
      </c>
      <c r="H198" s="59"/>
    </row>
    <row r="199" spans="1:8" x14ac:dyDescent="0.25">
      <c r="A199" s="60">
        <v>46062</v>
      </c>
      <c r="B199" s="59"/>
      <c r="C199" s="59"/>
      <c r="D199" s="69" t="s">
        <v>462</v>
      </c>
      <c r="E199" s="62"/>
      <c r="F199" s="62">
        <v>2</v>
      </c>
      <c r="G199" s="62">
        <f t="shared" si="9"/>
        <v>10.5</v>
      </c>
      <c r="H199" s="59"/>
    </row>
    <row r="200" spans="1:8" x14ac:dyDescent="0.25">
      <c r="A200" s="60">
        <v>46062</v>
      </c>
      <c r="B200" s="59"/>
      <c r="C200" s="59"/>
      <c r="D200" s="69" t="s">
        <v>76</v>
      </c>
      <c r="E200" s="62"/>
      <c r="F200" s="62">
        <v>2</v>
      </c>
      <c r="G200" s="62">
        <f t="shared" ref="G200:G234" si="10">G199+E200-F200</f>
        <v>8.5</v>
      </c>
      <c r="H200" s="59"/>
    </row>
    <row r="201" spans="1:8" x14ac:dyDescent="0.25">
      <c r="A201" s="60">
        <v>46062</v>
      </c>
      <c r="B201" s="59"/>
      <c r="C201" s="59"/>
      <c r="D201" s="69" t="s">
        <v>166</v>
      </c>
      <c r="E201" s="62"/>
      <c r="F201" s="62">
        <v>1</v>
      </c>
      <c r="G201" s="62">
        <f t="shared" si="10"/>
        <v>7.5</v>
      </c>
      <c r="H201" s="59"/>
    </row>
    <row r="202" spans="1:8" x14ac:dyDescent="0.25">
      <c r="A202" s="60">
        <v>46063</v>
      </c>
      <c r="B202" s="59"/>
      <c r="C202" s="59"/>
      <c r="D202" s="69" t="s">
        <v>463</v>
      </c>
      <c r="E202" s="62"/>
      <c r="F202" s="62">
        <v>1</v>
      </c>
      <c r="G202" s="62">
        <f t="shared" si="10"/>
        <v>6.5</v>
      </c>
      <c r="H202" s="59"/>
    </row>
    <row r="203" spans="1:8" x14ac:dyDescent="0.25">
      <c r="A203" s="60">
        <v>46063</v>
      </c>
      <c r="B203" s="59"/>
      <c r="C203" s="59"/>
      <c r="D203" s="69" t="s">
        <v>464</v>
      </c>
      <c r="E203" s="62"/>
      <c r="F203" s="62">
        <v>2</v>
      </c>
      <c r="G203" s="62">
        <f t="shared" si="10"/>
        <v>4.5</v>
      </c>
      <c r="H203" s="59"/>
    </row>
    <row r="204" spans="1:8" x14ac:dyDescent="0.25">
      <c r="A204" s="60">
        <v>46063</v>
      </c>
      <c r="B204" s="59"/>
      <c r="C204" s="59"/>
      <c r="D204" s="69" t="s">
        <v>465</v>
      </c>
      <c r="E204" s="62"/>
      <c r="F204" s="62">
        <v>3.5</v>
      </c>
      <c r="G204" s="62">
        <f t="shared" si="10"/>
        <v>1</v>
      </c>
      <c r="H204" s="59"/>
    </row>
    <row r="205" spans="1:8" x14ac:dyDescent="0.25">
      <c r="A205" s="60">
        <v>46064</v>
      </c>
      <c r="B205" s="59"/>
      <c r="C205" s="59"/>
      <c r="D205" s="69" t="s">
        <v>466</v>
      </c>
      <c r="E205" s="62"/>
      <c r="F205" s="62">
        <v>1</v>
      </c>
      <c r="G205" s="62">
        <f t="shared" si="10"/>
        <v>0</v>
      </c>
      <c r="H205" s="59"/>
    </row>
    <row r="206" spans="1:8" x14ac:dyDescent="0.25">
      <c r="A206" s="74">
        <v>46064</v>
      </c>
      <c r="B206" s="59"/>
      <c r="C206" s="59"/>
      <c r="D206" s="140" t="s">
        <v>467</v>
      </c>
      <c r="E206" s="73">
        <v>20</v>
      </c>
      <c r="F206" s="62"/>
      <c r="G206" s="62">
        <f t="shared" si="10"/>
        <v>20</v>
      </c>
      <c r="H206" s="59"/>
    </row>
    <row r="207" spans="1:8" x14ac:dyDescent="0.25">
      <c r="A207" s="60">
        <v>46065</v>
      </c>
      <c r="B207" s="59"/>
      <c r="C207" s="59"/>
      <c r="D207" s="69" t="s">
        <v>346</v>
      </c>
      <c r="E207" s="62"/>
      <c r="F207" s="62">
        <v>1</v>
      </c>
      <c r="G207" s="62">
        <f t="shared" si="10"/>
        <v>19</v>
      </c>
      <c r="H207" s="59"/>
    </row>
    <row r="208" spans="1:8" x14ac:dyDescent="0.25">
      <c r="A208" s="60">
        <v>46066</v>
      </c>
      <c r="B208" s="59"/>
      <c r="C208" s="59"/>
      <c r="D208" s="69" t="s">
        <v>76</v>
      </c>
      <c r="E208" s="62"/>
      <c r="F208" s="62">
        <v>1</v>
      </c>
      <c r="G208" s="62">
        <f t="shared" si="10"/>
        <v>18</v>
      </c>
      <c r="H208" s="59"/>
    </row>
    <row r="209" spans="1:8" x14ac:dyDescent="0.25">
      <c r="A209" s="60">
        <v>46066</v>
      </c>
      <c r="B209" s="59"/>
      <c r="C209" s="59"/>
      <c r="D209" s="69" t="s">
        <v>468</v>
      </c>
      <c r="E209" s="62"/>
      <c r="F209" s="62">
        <v>1</v>
      </c>
      <c r="G209" s="62">
        <f t="shared" si="10"/>
        <v>17</v>
      </c>
      <c r="H209" s="59"/>
    </row>
    <row r="210" spans="1:8" x14ac:dyDescent="0.25">
      <c r="A210" s="60">
        <v>46067</v>
      </c>
      <c r="B210" s="59"/>
      <c r="C210" s="59"/>
      <c r="D210" s="69" t="s">
        <v>237</v>
      </c>
      <c r="E210" s="62"/>
      <c r="F210" s="62">
        <v>3</v>
      </c>
      <c r="G210" s="62">
        <f t="shared" si="10"/>
        <v>14</v>
      </c>
      <c r="H210" s="59"/>
    </row>
    <row r="211" spans="1:8" x14ac:dyDescent="0.25">
      <c r="A211" s="60">
        <v>46068</v>
      </c>
      <c r="B211" s="59"/>
      <c r="C211" s="59"/>
      <c r="D211" s="69" t="s">
        <v>333</v>
      </c>
      <c r="E211" s="62"/>
      <c r="F211" s="62">
        <v>1.5</v>
      </c>
      <c r="G211" s="62">
        <f t="shared" si="10"/>
        <v>12.5</v>
      </c>
      <c r="H211" s="59"/>
    </row>
    <row r="212" spans="1:8" x14ac:dyDescent="0.25">
      <c r="A212" s="60">
        <v>46069</v>
      </c>
      <c r="B212" s="59"/>
      <c r="C212" s="59"/>
      <c r="D212" s="69" t="s">
        <v>438</v>
      </c>
      <c r="E212" s="62"/>
      <c r="F212" s="62">
        <v>2</v>
      </c>
      <c r="G212" s="62">
        <f t="shared" si="10"/>
        <v>10.5</v>
      </c>
      <c r="H212" s="59"/>
    </row>
    <row r="213" spans="1:8" x14ac:dyDescent="0.25">
      <c r="A213" s="60">
        <v>46069</v>
      </c>
      <c r="B213" s="59"/>
      <c r="C213" s="59"/>
      <c r="D213" s="69" t="s">
        <v>247</v>
      </c>
      <c r="E213" s="62"/>
      <c r="F213" s="62">
        <v>2</v>
      </c>
      <c r="G213" s="62">
        <f t="shared" si="10"/>
        <v>8.5</v>
      </c>
      <c r="H213" s="59"/>
    </row>
    <row r="214" spans="1:8" x14ac:dyDescent="0.25">
      <c r="A214" s="60">
        <v>46069</v>
      </c>
      <c r="B214" s="59"/>
      <c r="C214" s="59"/>
      <c r="D214" s="69" t="s">
        <v>55</v>
      </c>
      <c r="E214" s="62"/>
      <c r="F214" s="62">
        <v>3.5</v>
      </c>
      <c r="G214" s="62">
        <f t="shared" si="10"/>
        <v>5</v>
      </c>
      <c r="H214" s="59"/>
    </row>
    <row r="215" spans="1:8" x14ac:dyDescent="0.25">
      <c r="A215" s="60">
        <v>46069</v>
      </c>
      <c r="B215" s="59"/>
      <c r="C215" s="59"/>
      <c r="D215" s="69" t="s">
        <v>414</v>
      </c>
      <c r="E215" s="62"/>
      <c r="F215" s="62">
        <v>1</v>
      </c>
      <c r="G215" s="62">
        <f t="shared" si="10"/>
        <v>4</v>
      </c>
      <c r="H215" s="59"/>
    </row>
    <row r="216" spans="1:8" x14ac:dyDescent="0.25">
      <c r="A216" s="60">
        <v>46070</v>
      </c>
      <c r="B216" s="59"/>
      <c r="C216" s="59"/>
      <c r="D216" s="69" t="s">
        <v>55</v>
      </c>
      <c r="E216" s="62"/>
      <c r="F216" s="62">
        <v>1</v>
      </c>
      <c r="G216" s="62">
        <f t="shared" si="10"/>
        <v>3</v>
      </c>
      <c r="H216" s="59"/>
    </row>
    <row r="217" spans="1:8" x14ac:dyDescent="0.25">
      <c r="A217" s="60">
        <v>46070</v>
      </c>
      <c r="B217" s="59"/>
      <c r="C217" s="59"/>
      <c r="D217" s="69" t="s">
        <v>469</v>
      </c>
      <c r="E217" s="62"/>
      <c r="F217" s="62">
        <v>1</v>
      </c>
      <c r="G217" s="62">
        <f t="shared" si="10"/>
        <v>2</v>
      </c>
      <c r="H217" s="59"/>
    </row>
    <row r="218" spans="1:8" x14ac:dyDescent="0.25">
      <c r="A218" s="60">
        <v>46071</v>
      </c>
      <c r="B218" s="59"/>
      <c r="C218" s="59"/>
      <c r="D218" s="69" t="s">
        <v>18</v>
      </c>
      <c r="E218" s="62"/>
      <c r="F218" s="62">
        <v>1</v>
      </c>
      <c r="G218" s="62">
        <f t="shared" si="10"/>
        <v>1</v>
      </c>
      <c r="H218" s="59"/>
    </row>
    <row r="219" spans="1:8" x14ac:dyDescent="0.25">
      <c r="A219" s="60">
        <v>46071</v>
      </c>
      <c r="B219" s="59"/>
      <c r="C219" s="59"/>
      <c r="D219" s="69" t="s">
        <v>346</v>
      </c>
      <c r="E219" s="62"/>
      <c r="F219" s="62">
        <v>0.5</v>
      </c>
      <c r="G219" s="62">
        <f t="shared" si="10"/>
        <v>0.5</v>
      </c>
      <c r="H219" s="59"/>
    </row>
    <row r="220" spans="1:8" x14ac:dyDescent="0.25">
      <c r="A220" s="60">
        <v>46071</v>
      </c>
      <c r="B220" s="59"/>
      <c r="C220" s="59"/>
      <c r="D220" s="69" t="s">
        <v>358</v>
      </c>
      <c r="E220" s="62"/>
      <c r="F220" s="62">
        <v>0.5</v>
      </c>
      <c r="G220" s="62">
        <f t="shared" si="10"/>
        <v>0</v>
      </c>
      <c r="H220" s="59"/>
    </row>
    <row r="221" spans="1:8" x14ac:dyDescent="0.25">
      <c r="A221" s="74">
        <v>46072</v>
      </c>
      <c r="B221" s="59"/>
      <c r="C221" s="59"/>
      <c r="D221" s="140" t="s">
        <v>457</v>
      </c>
      <c r="E221" s="73">
        <v>20</v>
      </c>
      <c r="F221" s="62"/>
      <c r="G221" s="62">
        <f t="shared" si="10"/>
        <v>20</v>
      </c>
      <c r="H221" s="59"/>
    </row>
    <row r="222" spans="1:8" x14ac:dyDescent="0.25">
      <c r="A222" s="75">
        <v>46072</v>
      </c>
      <c r="B222" s="59"/>
      <c r="C222" s="59"/>
      <c r="D222" s="69" t="s">
        <v>394</v>
      </c>
      <c r="E222" s="62"/>
      <c r="F222" s="62">
        <v>1</v>
      </c>
      <c r="G222" s="62">
        <f t="shared" si="10"/>
        <v>19</v>
      </c>
      <c r="H222" s="59"/>
    </row>
    <row r="223" spans="1:8" x14ac:dyDescent="0.25">
      <c r="A223" s="60">
        <v>46072</v>
      </c>
      <c r="B223" s="59"/>
      <c r="C223" s="59"/>
      <c r="D223" s="69" t="s">
        <v>470</v>
      </c>
      <c r="E223" s="62"/>
      <c r="F223" s="62">
        <v>1</v>
      </c>
      <c r="G223" s="62">
        <f t="shared" si="10"/>
        <v>18</v>
      </c>
      <c r="H223" s="59"/>
    </row>
    <row r="224" spans="1:8" x14ac:dyDescent="0.25">
      <c r="A224" s="60">
        <v>46073</v>
      </c>
      <c r="B224" s="59"/>
      <c r="C224" s="59"/>
      <c r="D224" s="69" t="s">
        <v>319</v>
      </c>
      <c r="E224" s="62"/>
      <c r="F224" s="62">
        <v>1</v>
      </c>
      <c r="G224" s="62">
        <f t="shared" si="10"/>
        <v>17</v>
      </c>
      <c r="H224" s="59"/>
    </row>
    <row r="225" spans="1:8" x14ac:dyDescent="0.25">
      <c r="A225" s="122">
        <v>46073</v>
      </c>
      <c r="B225" s="59"/>
      <c r="C225" s="59"/>
      <c r="D225" s="69" t="s">
        <v>471</v>
      </c>
      <c r="E225" s="62"/>
      <c r="F225" s="62">
        <v>2</v>
      </c>
      <c r="G225" s="62">
        <f t="shared" si="10"/>
        <v>15</v>
      </c>
      <c r="H225" s="59"/>
    </row>
    <row r="226" spans="1:8" x14ac:dyDescent="0.25">
      <c r="A226" s="60">
        <v>46073</v>
      </c>
      <c r="B226" s="59"/>
      <c r="C226" s="59"/>
      <c r="D226" s="69" t="s">
        <v>319</v>
      </c>
      <c r="E226" s="62"/>
      <c r="F226" s="62">
        <v>1</v>
      </c>
      <c r="G226" s="62">
        <f t="shared" si="10"/>
        <v>14</v>
      </c>
      <c r="H226" s="59"/>
    </row>
    <row r="227" spans="1:8" x14ac:dyDescent="0.25">
      <c r="A227" s="60">
        <v>46074</v>
      </c>
      <c r="B227" s="59"/>
      <c r="C227" s="59"/>
      <c r="D227" s="69" t="s">
        <v>472</v>
      </c>
      <c r="E227" s="62"/>
      <c r="F227" s="62">
        <v>1</v>
      </c>
      <c r="G227" s="62">
        <f t="shared" si="10"/>
        <v>13</v>
      </c>
      <c r="H227" s="59"/>
    </row>
    <row r="228" spans="1:8" x14ac:dyDescent="0.25">
      <c r="A228" s="60">
        <v>46074</v>
      </c>
      <c r="B228" s="59"/>
      <c r="C228" s="59"/>
      <c r="D228" s="69" t="s">
        <v>450</v>
      </c>
      <c r="E228" s="62"/>
      <c r="F228" s="62">
        <v>1.5</v>
      </c>
      <c r="G228" s="62">
        <f t="shared" si="10"/>
        <v>11.5</v>
      </c>
      <c r="H228" s="59"/>
    </row>
    <row r="229" spans="1:8" x14ac:dyDescent="0.25">
      <c r="A229" s="60">
        <v>46075</v>
      </c>
      <c r="B229" s="59"/>
      <c r="C229" s="59"/>
      <c r="D229" s="69" t="s">
        <v>76</v>
      </c>
      <c r="E229" s="62"/>
      <c r="F229" s="62">
        <v>1</v>
      </c>
      <c r="G229" s="62">
        <f t="shared" si="10"/>
        <v>10.5</v>
      </c>
      <c r="H229" s="59"/>
    </row>
    <row r="230" spans="1:8" x14ac:dyDescent="0.25">
      <c r="A230" s="60">
        <v>46075</v>
      </c>
      <c r="B230" s="59"/>
      <c r="C230" s="59"/>
      <c r="D230" s="69" t="s">
        <v>288</v>
      </c>
      <c r="E230" s="62"/>
      <c r="F230" s="62">
        <v>1</v>
      </c>
      <c r="G230" s="62">
        <f t="shared" si="10"/>
        <v>9.5</v>
      </c>
      <c r="H230" s="59"/>
    </row>
    <row r="231" spans="1:8" x14ac:dyDescent="0.25">
      <c r="A231" s="122">
        <v>46076</v>
      </c>
      <c r="B231" s="59"/>
      <c r="C231" s="59"/>
      <c r="D231" s="69" t="s">
        <v>358</v>
      </c>
      <c r="E231" s="62"/>
      <c r="F231" s="62">
        <v>2</v>
      </c>
      <c r="G231" s="62">
        <f t="shared" si="10"/>
        <v>7.5</v>
      </c>
      <c r="H231" s="59"/>
    </row>
    <row r="232" spans="1:8" x14ac:dyDescent="0.25">
      <c r="A232" s="60">
        <v>46076</v>
      </c>
      <c r="B232" s="59"/>
      <c r="C232" s="59"/>
      <c r="D232" s="69" t="s">
        <v>69</v>
      </c>
      <c r="E232" s="62"/>
      <c r="F232" s="62">
        <v>1.5</v>
      </c>
      <c r="G232" s="62">
        <f t="shared" si="10"/>
        <v>6</v>
      </c>
      <c r="H232" s="59"/>
    </row>
    <row r="233" spans="1:8" x14ac:dyDescent="0.25">
      <c r="A233" s="60">
        <v>46076</v>
      </c>
      <c r="B233" s="59"/>
      <c r="C233" s="59"/>
      <c r="D233" s="69" t="s">
        <v>442</v>
      </c>
      <c r="E233" s="62"/>
      <c r="F233" s="62">
        <v>1</v>
      </c>
      <c r="G233" s="62">
        <f t="shared" si="10"/>
        <v>5</v>
      </c>
      <c r="H233" s="59"/>
    </row>
    <row r="234" spans="1:8" x14ac:dyDescent="0.25">
      <c r="A234" s="60">
        <v>46077</v>
      </c>
      <c r="B234" s="59"/>
      <c r="C234" s="59"/>
      <c r="D234" s="69" t="s">
        <v>473</v>
      </c>
      <c r="E234" s="62"/>
      <c r="F234" s="62">
        <v>1</v>
      </c>
      <c r="G234" s="62">
        <f t="shared" si="10"/>
        <v>4</v>
      </c>
      <c r="H234" s="59"/>
    </row>
    <row r="235" spans="1:8" x14ac:dyDescent="0.25">
      <c r="A235" s="60">
        <v>46078</v>
      </c>
      <c r="B235" s="59"/>
      <c r="C235" s="59"/>
      <c r="D235" s="69" t="s">
        <v>76</v>
      </c>
      <c r="E235" s="62"/>
      <c r="F235" s="62">
        <v>2</v>
      </c>
      <c r="G235" s="62">
        <f t="shared" ref="G235:G264" si="11">G234+E235-F235</f>
        <v>2</v>
      </c>
      <c r="H235" s="59"/>
    </row>
    <row r="236" spans="1:8" x14ac:dyDescent="0.25">
      <c r="A236" s="60">
        <v>46078</v>
      </c>
      <c r="B236" s="59"/>
      <c r="C236" s="59"/>
      <c r="D236" s="69" t="s">
        <v>474</v>
      </c>
      <c r="E236" s="62"/>
      <c r="F236" s="62">
        <v>1</v>
      </c>
      <c r="G236" s="62">
        <f t="shared" si="11"/>
        <v>1</v>
      </c>
      <c r="H236" s="59"/>
    </row>
    <row r="237" spans="1:8" x14ac:dyDescent="0.25">
      <c r="A237" s="60">
        <v>46078</v>
      </c>
      <c r="B237" s="59"/>
      <c r="C237" s="59"/>
      <c r="D237" s="69" t="s">
        <v>76</v>
      </c>
      <c r="E237" s="62"/>
      <c r="F237" s="62">
        <v>1</v>
      </c>
      <c r="G237" s="62">
        <f t="shared" si="11"/>
        <v>0</v>
      </c>
      <c r="H237" s="59"/>
    </row>
    <row r="238" spans="1:8" x14ac:dyDescent="0.25">
      <c r="A238" s="74">
        <v>46079</v>
      </c>
      <c r="B238" s="59"/>
      <c r="C238" s="59"/>
      <c r="D238" s="140" t="s">
        <v>449</v>
      </c>
      <c r="E238" s="73">
        <v>21.5</v>
      </c>
      <c r="F238" s="62"/>
      <c r="G238" s="62">
        <f t="shared" si="11"/>
        <v>21.5</v>
      </c>
      <c r="H238" s="59"/>
    </row>
    <row r="239" spans="1:8" x14ac:dyDescent="0.25">
      <c r="A239" s="75">
        <v>46080</v>
      </c>
      <c r="B239" s="59"/>
      <c r="C239" s="59"/>
      <c r="D239" s="69" t="s">
        <v>448</v>
      </c>
      <c r="E239" s="62"/>
      <c r="F239" s="62">
        <v>1</v>
      </c>
      <c r="G239" s="62">
        <f t="shared" si="11"/>
        <v>20.5</v>
      </c>
      <c r="H239" s="59"/>
    </row>
    <row r="240" spans="1:8" x14ac:dyDescent="0.25">
      <c r="A240" s="60">
        <v>46080</v>
      </c>
      <c r="B240" s="59"/>
      <c r="C240" s="59"/>
      <c r="D240" s="69" t="s">
        <v>475</v>
      </c>
      <c r="E240" s="62"/>
      <c r="F240" s="62">
        <v>1</v>
      </c>
      <c r="G240" s="62">
        <f t="shared" si="11"/>
        <v>19.5</v>
      </c>
      <c r="H240" s="59"/>
    </row>
    <row r="241" spans="1:8" x14ac:dyDescent="0.25">
      <c r="A241" s="60">
        <v>46081</v>
      </c>
      <c r="B241" s="59"/>
      <c r="C241" s="59"/>
      <c r="D241" s="69" t="s">
        <v>237</v>
      </c>
      <c r="E241" s="62"/>
      <c r="F241" s="62">
        <v>2.5</v>
      </c>
      <c r="G241" s="62">
        <f t="shared" si="11"/>
        <v>17</v>
      </c>
      <c r="H241" s="59"/>
    </row>
    <row r="242" spans="1:8" x14ac:dyDescent="0.25">
      <c r="A242" s="60">
        <v>46084</v>
      </c>
      <c r="B242" s="59"/>
      <c r="C242" s="59"/>
      <c r="D242" s="69" t="s">
        <v>367</v>
      </c>
      <c r="E242" s="62"/>
      <c r="F242" s="62">
        <v>1</v>
      </c>
      <c r="G242" s="62">
        <f t="shared" si="11"/>
        <v>16</v>
      </c>
      <c r="H242" s="59"/>
    </row>
    <row r="243" spans="1:8" x14ac:dyDescent="0.25">
      <c r="A243" s="60">
        <v>46084</v>
      </c>
      <c r="B243" s="59"/>
      <c r="C243" s="59"/>
      <c r="D243" s="69" t="s">
        <v>76</v>
      </c>
      <c r="E243" s="62"/>
      <c r="F243" s="62">
        <v>1.5</v>
      </c>
      <c r="G243" s="62">
        <f t="shared" si="11"/>
        <v>14.5</v>
      </c>
      <c r="H243" s="59"/>
    </row>
    <row r="244" spans="1:8" x14ac:dyDescent="0.25">
      <c r="A244" s="60">
        <v>46085</v>
      </c>
      <c r="B244" s="59"/>
      <c r="C244" s="59"/>
      <c r="D244" s="69" t="s">
        <v>76</v>
      </c>
      <c r="E244" s="62"/>
      <c r="F244" s="62">
        <v>1.5</v>
      </c>
      <c r="G244" s="62">
        <f t="shared" si="11"/>
        <v>13</v>
      </c>
      <c r="H244" s="59"/>
    </row>
    <row r="245" spans="1:8" x14ac:dyDescent="0.25">
      <c r="A245" s="60">
        <v>46085</v>
      </c>
      <c r="B245" s="59"/>
      <c r="C245" s="59"/>
      <c r="D245" s="69" t="s">
        <v>63</v>
      </c>
      <c r="E245" s="62"/>
      <c r="F245" s="62">
        <v>1.5</v>
      </c>
      <c r="G245" s="62">
        <f t="shared" si="11"/>
        <v>11.5</v>
      </c>
      <c r="H245" s="59"/>
    </row>
    <row r="246" spans="1:8" x14ac:dyDescent="0.25">
      <c r="A246" s="60">
        <v>46086</v>
      </c>
      <c r="B246" s="59"/>
      <c r="C246" s="59"/>
      <c r="D246" s="69" t="s">
        <v>142</v>
      </c>
      <c r="E246" s="62"/>
      <c r="F246" s="62">
        <v>1</v>
      </c>
      <c r="G246" s="62">
        <f t="shared" si="11"/>
        <v>10.5</v>
      </c>
      <c r="H246" s="59"/>
    </row>
    <row r="247" spans="1:8" x14ac:dyDescent="0.25">
      <c r="A247" s="60">
        <v>46086</v>
      </c>
      <c r="B247" s="59"/>
      <c r="C247" s="59"/>
      <c r="D247" s="69" t="s">
        <v>382</v>
      </c>
      <c r="E247" s="62"/>
      <c r="F247" s="62">
        <v>1</v>
      </c>
      <c r="G247" s="62">
        <f t="shared" si="11"/>
        <v>9.5</v>
      </c>
      <c r="H247" s="59"/>
    </row>
    <row r="248" spans="1:8" x14ac:dyDescent="0.25">
      <c r="A248" s="60">
        <v>46087</v>
      </c>
      <c r="B248" s="59"/>
      <c r="C248" s="59"/>
      <c r="D248" s="69" t="s">
        <v>371</v>
      </c>
      <c r="E248" s="62"/>
      <c r="F248" s="62">
        <v>2</v>
      </c>
      <c r="G248" s="62">
        <f t="shared" si="11"/>
        <v>7.5</v>
      </c>
      <c r="H248" s="59"/>
    </row>
    <row r="249" spans="1:8" x14ac:dyDescent="0.25">
      <c r="A249" s="60">
        <v>46090</v>
      </c>
      <c r="B249" s="59"/>
      <c r="C249" s="59"/>
      <c r="D249" s="69" t="s">
        <v>476</v>
      </c>
      <c r="E249" s="62"/>
      <c r="F249" s="62">
        <v>1</v>
      </c>
      <c r="G249" s="62">
        <f t="shared" si="11"/>
        <v>6.5</v>
      </c>
      <c r="H249" s="59"/>
    </row>
    <row r="250" spans="1:8" x14ac:dyDescent="0.25">
      <c r="A250" s="60">
        <v>46090</v>
      </c>
      <c r="B250" s="59"/>
      <c r="C250" s="59"/>
      <c r="D250" s="69" t="s">
        <v>477</v>
      </c>
      <c r="E250" s="62"/>
      <c r="F250" s="62">
        <v>1.5</v>
      </c>
      <c r="G250" s="62">
        <f t="shared" si="11"/>
        <v>5</v>
      </c>
      <c r="H250" s="59"/>
    </row>
    <row r="251" spans="1:8" x14ac:dyDescent="0.25">
      <c r="A251" s="60">
        <v>46091</v>
      </c>
      <c r="B251" s="59"/>
      <c r="C251" s="59"/>
      <c r="D251" s="69" t="s">
        <v>448</v>
      </c>
      <c r="E251" s="62"/>
      <c r="F251" s="62">
        <v>2</v>
      </c>
      <c r="G251" s="62">
        <f t="shared" si="11"/>
        <v>3</v>
      </c>
      <c r="H251" s="59"/>
    </row>
    <row r="252" spans="1:8" x14ac:dyDescent="0.25">
      <c r="A252" s="60">
        <v>46092</v>
      </c>
      <c r="B252" s="59"/>
      <c r="C252" s="59"/>
      <c r="D252" s="69" t="s">
        <v>473</v>
      </c>
      <c r="E252" s="62"/>
      <c r="F252" s="62">
        <v>1</v>
      </c>
      <c r="G252" s="62">
        <f t="shared" si="11"/>
        <v>2</v>
      </c>
      <c r="H252" s="59"/>
    </row>
    <row r="253" spans="1:8" x14ac:dyDescent="0.25">
      <c r="A253" s="60">
        <v>46092</v>
      </c>
      <c r="B253" s="59"/>
      <c r="C253" s="59"/>
      <c r="D253" s="69" t="s">
        <v>359</v>
      </c>
      <c r="E253" s="62"/>
      <c r="F253" s="62">
        <v>1.5</v>
      </c>
      <c r="G253" s="62">
        <f t="shared" si="11"/>
        <v>0.5</v>
      </c>
      <c r="H253" s="59"/>
    </row>
    <row r="254" spans="1:8" x14ac:dyDescent="0.25">
      <c r="A254" s="74">
        <v>46092</v>
      </c>
      <c r="B254" s="59"/>
      <c r="C254" s="59"/>
      <c r="D254" s="140" t="s">
        <v>449</v>
      </c>
      <c r="E254" s="73">
        <v>15</v>
      </c>
      <c r="F254" s="62"/>
      <c r="G254" s="62">
        <f t="shared" si="11"/>
        <v>15.5</v>
      </c>
      <c r="H254" s="59"/>
    </row>
    <row r="255" spans="1:8" x14ac:dyDescent="0.25">
      <c r="A255" s="60">
        <v>46092</v>
      </c>
      <c r="B255" s="59"/>
      <c r="C255" s="59"/>
      <c r="D255" s="69" t="s">
        <v>24</v>
      </c>
      <c r="E255" s="62"/>
      <c r="F255" s="62">
        <v>1</v>
      </c>
      <c r="G255" s="62">
        <f t="shared" si="11"/>
        <v>14.5</v>
      </c>
      <c r="H255" s="59"/>
    </row>
    <row r="256" spans="1:8" x14ac:dyDescent="0.25">
      <c r="A256" s="60">
        <v>46092</v>
      </c>
      <c r="B256" s="59"/>
      <c r="C256" s="59"/>
      <c r="D256" s="69" t="s">
        <v>379</v>
      </c>
      <c r="E256" s="62"/>
      <c r="F256" s="62">
        <v>2</v>
      </c>
      <c r="G256" s="62">
        <f t="shared" si="11"/>
        <v>12.5</v>
      </c>
      <c r="H256" s="59"/>
    </row>
    <row r="257" spans="1:8" x14ac:dyDescent="0.25">
      <c r="A257" s="60">
        <v>46093</v>
      </c>
      <c r="B257" s="59"/>
      <c r="C257" s="59"/>
      <c r="D257" s="69" t="s">
        <v>24</v>
      </c>
      <c r="E257" s="62"/>
      <c r="F257" s="62">
        <v>1</v>
      </c>
      <c r="G257" s="62">
        <f t="shared" si="11"/>
        <v>11.5</v>
      </c>
      <c r="H257" s="59"/>
    </row>
    <row r="258" spans="1:8" x14ac:dyDescent="0.25">
      <c r="A258" s="60">
        <v>46093</v>
      </c>
      <c r="B258" s="59"/>
      <c r="C258" s="59"/>
      <c r="D258" s="69" t="s">
        <v>76</v>
      </c>
      <c r="E258" s="62"/>
      <c r="F258" s="62">
        <v>2</v>
      </c>
      <c r="G258" s="62">
        <f t="shared" si="11"/>
        <v>9.5</v>
      </c>
      <c r="H258" s="59"/>
    </row>
    <row r="259" spans="1:8" x14ac:dyDescent="0.25">
      <c r="A259" s="60">
        <v>46093</v>
      </c>
      <c r="B259" s="59"/>
      <c r="C259" s="59"/>
      <c r="D259" s="69" t="s">
        <v>478</v>
      </c>
      <c r="E259" s="62"/>
      <c r="F259" s="62">
        <v>1</v>
      </c>
      <c r="G259" s="62">
        <f t="shared" si="11"/>
        <v>8.5</v>
      </c>
      <c r="H259" s="59"/>
    </row>
    <row r="260" spans="1:8" x14ac:dyDescent="0.25">
      <c r="A260" s="60">
        <v>46093</v>
      </c>
      <c r="B260" s="59"/>
      <c r="C260" s="59"/>
      <c r="D260" s="69" t="s">
        <v>380</v>
      </c>
      <c r="E260" s="62"/>
      <c r="F260" s="62">
        <v>2</v>
      </c>
      <c r="G260" s="62">
        <f t="shared" si="11"/>
        <v>6.5</v>
      </c>
      <c r="H260" s="59"/>
    </row>
    <row r="261" spans="1:8" x14ac:dyDescent="0.25">
      <c r="A261" s="60">
        <v>46094</v>
      </c>
      <c r="B261" s="59"/>
      <c r="C261" s="59"/>
      <c r="D261" s="69" t="s">
        <v>479</v>
      </c>
      <c r="E261" s="62"/>
      <c r="F261" s="62">
        <v>2</v>
      </c>
      <c r="G261" s="62">
        <f t="shared" si="11"/>
        <v>4.5</v>
      </c>
      <c r="H261" s="59"/>
    </row>
    <row r="262" spans="1:8" x14ac:dyDescent="0.25">
      <c r="A262" s="60">
        <v>46094</v>
      </c>
      <c r="B262" s="59"/>
      <c r="C262" s="59"/>
      <c r="D262" s="69" t="s">
        <v>480</v>
      </c>
      <c r="E262" s="62"/>
      <c r="F262" s="62">
        <v>1</v>
      </c>
      <c r="G262" s="62">
        <f t="shared" si="11"/>
        <v>3.5</v>
      </c>
      <c r="H262" s="59"/>
    </row>
    <row r="263" spans="1:8" x14ac:dyDescent="0.25">
      <c r="A263" s="60">
        <v>46095</v>
      </c>
      <c r="B263" s="59"/>
      <c r="C263" s="59"/>
      <c r="D263" s="69" t="s">
        <v>481</v>
      </c>
      <c r="E263" s="62"/>
      <c r="F263" s="62">
        <v>1</v>
      </c>
      <c r="G263" s="62">
        <f t="shared" si="11"/>
        <v>2.5</v>
      </c>
      <c r="H263" s="59"/>
    </row>
    <row r="264" spans="1:8" x14ac:dyDescent="0.25">
      <c r="A264" s="60">
        <v>46096</v>
      </c>
      <c r="B264" s="59"/>
      <c r="C264" s="59"/>
      <c r="D264" s="69" t="s">
        <v>24</v>
      </c>
      <c r="E264" s="62"/>
      <c r="F264" s="62">
        <v>1</v>
      </c>
      <c r="G264" s="62">
        <f t="shared" si="11"/>
        <v>1.5</v>
      </c>
      <c r="H264" s="59"/>
    </row>
    <row r="265" spans="1:8" x14ac:dyDescent="0.25">
      <c r="A265" s="60">
        <v>46096</v>
      </c>
      <c r="B265" s="59"/>
      <c r="C265" s="59"/>
      <c r="D265" s="69" t="s">
        <v>315</v>
      </c>
      <c r="E265" s="62"/>
      <c r="F265" s="62">
        <v>1</v>
      </c>
      <c r="G265" s="62">
        <f t="shared" ref="G265:G288" si="12">G264+E265-F265</f>
        <v>0.5</v>
      </c>
      <c r="H265" s="59"/>
    </row>
    <row r="266" spans="1:8" x14ac:dyDescent="0.25">
      <c r="A266" s="60">
        <v>46096</v>
      </c>
      <c r="B266" s="59"/>
      <c r="C266" s="59"/>
      <c r="D266" s="69" t="s">
        <v>311</v>
      </c>
      <c r="E266" s="62"/>
      <c r="F266" s="62">
        <v>0.25</v>
      </c>
      <c r="G266" s="62">
        <f t="shared" si="12"/>
        <v>0.25</v>
      </c>
      <c r="H266" s="59"/>
    </row>
    <row r="267" spans="1:8" x14ac:dyDescent="0.25">
      <c r="A267" s="60">
        <v>46098</v>
      </c>
      <c r="B267" s="59"/>
      <c r="C267" s="59"/>
      <c r="D267" s="69" t="s">
        <v>482</v>
      </c>
      <c r="E267" s="62"/>
      <c r="F267" s="62">
        <v>0.25</v>
      </c>
      <c r="G267" s="62">
        <f t="shared" si="12"/>
        <v>0</v>
      </c>
      <c r="H267" s="59"/>
    </row>
    <row r="268" spans="1:8" x14ac:dyDescent="0.25">
      <c r="A268" s="74">
        <v>46121</v>
      </c>
      <c r="B268" s="72">
        <v>142335</v>
      </c>
      <c r="C268" s="72"/>
      <c r="D268" s="140" t="s">
        <v>449</v>
      </c>
      <c r="E268" s="73">
        <v>4</v>
      </c>
      <c r="F268" s="73"/>
      <c r="G268" s="73">
        <f t="shared" si="12"/>
        <v>4</v>
      </c>
      <c r="H268" s="59"/>
    </row>
    <row r="269" spans="1:8" x14ac:dyDescent="0.25">
      <c r="A269" s="60">
        <v>46122</v>
      </c>
      <c r="B269" s="59"/>
      <c r="C269" s="59"/>
      <c r="D269" s="69" t="s">
        <v>133</v>
      </c>
      <c r="E269" s="62"/>
      <c r="F269" s="62">
        <v>0.5</v>
      </c>
      <c r="G269" s="62">
        <f t="shared" si="12"/>
        <v>3.5</v>
      </c>
      <c r="H269" s="59"/>
    </row>
    <row r="270" spans="1:8" x14ac:dyDescent="0.25">
      <c r="A270" s="60">
        <v>46132</v>
      </c>
      <c r="B270" s="59"/>
      <c r="C270" s="59"/>
      <c r="D270" s="69" t="s">
        <v>403</v>
      </c>
      <c r="E270" s="62"/>
      <c r="F270" s="62">
        <v>3.5</v>
      </c>
      <c r="G270" s="62">
        <f t="shared" si="12"/>
        <v>0</v>
      </c>
      <c r="H270" s="59"/>
    </row>
    <row r="271" spans="1:8" x14ac:dyDescent="0.25">
      <c r="A271" s="74">
        <v>46134</v>
      </c>
      <c r="B271" s="72">
        <v>142325</v>
      </c>
      <c r="C271" s="59"/>
      <c r="D271" s="140" t="s">
        <v>235</v>
      </c>
      <c r="E271" s="73">
        <v>10.75</v>
      </c>
      <c r="F271" s="62"/>
      <c r="G271" s="62">
        <f t="shared" si="12"/>
        <v>10.75</v>
      </c>
      <c r="H271" s="59"/>
    </row>
    <row r="272" spans="1:8" x14ac:dyDescent="0.25">
      <c r="A272" s="60">
        <v>46134</v>
      </c>
      <c r="B272" s="59"/>
      <c r="C272" s="59"/>
      <c r="D272" s="69" t="s">
        <v>210</v>
      </c>
      <c r="E272" s="62"/>
      <c r="F272" s="62">
        <v>1</v>
      </c>
      <c r="G272" s="62">
        <f t="shared" si="12"/>
        <v>9.75</v>
      </c>
      <c r="H272" s="59"/>
    </row>
    <row r="273" spans="1:8" x14ac:dyDescent="0.25">
      <c r="A273" s="60">
        <v>46134</v>
      </c>
      <c r="B273" s="59"/>
      <c r="C273" s="59"/>
      <c r="D273" s="69" t="s">
        <v>436</v>
      </c>
      <c r="E273" s="62"/>
      <c r="F273" s="62">
        <v>1.5</v>
      </c>
      <c r="G273" s="62">
        <f t="shared" si="12"/>
        <v>8.25</v>
      </c>
      <c r="H273" s="59"/>
    </row>
    <row r="274" spans="1:8" x14ac:dyDescent="0.25">
      <c r="A274" s="60">
        <v>46134</v>
      </c>
      <c r="B274" s="59"/>
      <c r="C274" s="59"/>
      <c r="D274" s="69" t="s">
        <v>403</v>
      </c>
      <c r="E274" s="62"/>
      <c r="F274" s="62">
        <v>2</v>
      </c>
      <c r="G274" s="62">
        <f t="shared" si="12"/>
        <v>6.25</v>
      </c>
      <c r="H274" s="59"/>
    </row>
    <row r="275" spans="1:8" x14ac:dyDescent="0.25">
      <c r="A275" s="60">
        <v>46134</v>
      </c>
      <c r="B275" s="59"/>
      <c r="C275" s="59"/>
      <c r="D275" s="69" t="s">
        <v>408</v>
      </c>
      <c r="E275" s="62"/>
      <c r="F275" s="62">
        <v>1</v>
      </c>
      <c r="G275" s="62">
        <f t="shared" si="12"/>
        <v>5.25</v>
      </c>
      <c r="H275" s="59"/>
    </row>
    <row r="276" spans="1:8" x14ac:dyDescent="0.25">
      <c r="A276" s="60">
        <v>46139</v>
      </c>
      <c r="B276" s="59"/>
      <c r="C276" s="59"/>
      <c r="D276" s="69" t="s">
        <v>406</v>
      </c>
      <c r="E276" s="62"/>
      <c r="F276" s="62">
        <v>1</v>
      </c>
      <c r="G276" s="62">
        <f t="shared" si="12"/>
        <v>4.25</v>
      </c>
      <c r="H276" s="59"/>
    </row>
    <row r="277" spans="1:8" x14ac:dyDescent="0.25">
      <c r="A277" s="60">
        <v>46140</v>
      </c>
      <c r="B277" s="59"/>
      <c r="C277" s="59"/>
      <c r="D277" s="69" t="s">
        <v>483</v>
      </c>
      <c r="E277" s="62"/>
      <c r="F277" s="62">
        <v>1</v>
      </c>
      <c r="G277" s="62">
        <f t="shared" si="12"/>
        <v>3.25</v>
      </c>
      <c r="H277" s="59"/>
    </row>
    <row r="278" spans="1:8" x14ac:dyDescent="0.25">
      <c r="A278" s="60">
        <v>46140</v>
      </c>
      <c r="B278" s="59"/>
      <c r="C278" s="59"/>
      <c r="D278" s="69" t="s">
        <v>90</v>
      </c>
      <c r="E278" s="62"/>
      <c r="F278" s="62">
        <v>1</v>
      </c>
      <c r="G278" s="62">
        <f t="shared" si="12"/>
        <v>2.25</v>
      </c>
      <c r="H278" s="59"/>
    </row>
    <row r="279" spans="1:8" x14ac:dyDescent="0.25">
      <c r="A279" s="60">
        <v>46142</v>
      </c>
      <c r="B279" s="59"/>
      <c r="C279" s="59"/>
      <c r="D279" s="69" t="s">
        <v>72</v>
      </c>
      <c r="E279" s="62"/>
      <c r="F279" s="62">
        <v>1</v>
      </c>
      <c r="G279" s="62">
        <f t="shared" si="12"/>
        <v>1.25</v>
      </c>
      <c r="H279" s="59"/>
    </row>
    <row r="280" spans="1:8" x14ac:dyDescent="0.25">
      <c r="A280" s="60">
        <v>46142</v>
      </c>
      <c r="B280" s="59"/>
      <c r="C280" s="59"/>
      <c r="D280" s="69" t="s">
        <v>433</v>
      </c>
      <c r="E280" s="62"/>
      <c r="F280" s="62">
        <v>1</v>
      </c>
      <c r="G280" s="62">
        <f t="shared" si="12"/>
        <v>0.25</v>
      </c>
      <c r="H280" s="59"/>
    </row>
    <row r="281" spans="1:8" x14ac:dyDescent="0.25">
      <c r="A281" s="74">
        <v>46147</v>
      </c>
      <c r="B281" s="72">
        <v>142337</v>
      </c>
      <c r="C281" s="72"/>
      <c r="D281" s="140" t="s">
        <v>235</v>
      </c>
      <c r="E281" s="73">
        <v>15</v>
      </c>
      <c r="F281" s="73"/>
      <c r="G281" s="73">
        <f t="shared" si="12"/>
        <v>15.25</v>
      </c>
      <c r="H281" s="72"/>
    </row>
    <row r="282" spans="1:8" x14ac:dyDescent="0.25">
      <c r="A282" s="60">
        <v>46147</v>
      </c>
      <c r="B282" s="59"/>
      <c r="C282" s="59"/>
      <c r="D282" s="69" t="s">
        <v>112</v>
      </c>
      <c r="E282" s="62"/>
      <c r="F282" s="62">
        <v>1</v>
      </c>
      <c r="G282" s="62">
        <f t="shared" si="12"/>
        <v>14.25</v>
      </c>
      <c r="H282" s="59"/>
    </row>
    <row r="283" spans="1:8" x14ac:dyDescent="0.25">
      <c r="A283" s="60">
        <v>46147</v>
      </c>
      <c r="B283" s="59"/>
      <c r="C283" s="59"/>
      <c r="D283" s="69" t="s">
        <v>484</v>
      </c>
      <c r="E283" s="62"/>
      <c r="F283" s="62">
        <v>1</v>
      </c>
      <c r="G283" s="62">
        <f t="shared" si="12"/>
        <v>13.25</v>
      </c>
      <c r="H283" s="59"/>
    </row>
    <row r="284" spans="1:8" x14ac:dyDescent="0.25">
      <c r="A284" s="60">
        <v>46148</v>
      </c>
      <c r="B284" s="59"/>
      <c r="C284" s="59"/>
      <c r="D284" s="69" t="s">
        <v>143</v>
      </c>
      <c r="E284" s="62"/>
      <c r="F284" s="62">
        <v>2</v>
      </c>
      <c r="G284" s="62">
        <f t="shared" si="12"/>
        <v>11.25</v>
      </c>
      <c r="H284" s="59"/>
    </row>
    <row r="285" spans="1:8" x14ac:dyDescent="0.25">
      <c r="A285" s="60">
        <v>46149</v>
      </c>
      <c r="B285" s="59"/>
      <c r="C285" s="59"/>
      <c r="D285" s="69" t="s">
        <v>345</v>
      </c>
      <c r="E285" s="62"/>
      <c r="F285" s="62">
        <v>1</v>
      </c>
      <c r="G285" s="62">
        <f t="shared" si="12"/>
        <v>10.25</v>
      </c>
      <c r="H285" s="59"/>
    </row>
    <row r="286" spans="1:8" x14ac:dyDescent="0.25">
      <c r="A286" s="60">
        <v>46150</v>
      </c>
      <c r="B286" s="59"/>
      <c r="C286" s="59"/>
      <c r="D286" s="69" t="s">
        <v>485</v>
      </c>
      <c r="E286" s="62"/>
      <c r="F286" s="62">
        <v>1</v>
      </c>
      <c r="G286" s="62">
        <f t="shared" si="12"/>
        <v>9.25</v>
      </c>
      <c r="H286" s="59"/>
    </row>
    <row r="287" spans="1:8" x14ac:dyDescent="0.25">
      <c r="A287" s="60">
        <v>46150</v>
      </c>
      <c r="B287" s="59"/>
      <c r="C287" s="59"/>
      <c r="D287" s="69" t="s">
        <v>210</v>
      </c>
      <c r="E287" s="62"/>
      <c r="F287" s="62">
        <v>2</v>
      </c>
      <c r="G287" s="62">
        <f t="shared" si="12"/>
        <v>7.25</v>
      </c>
      <c r="H287" s="59"/>
    </row>
    <row r="288" spans="1:8" x14ac:dyDescent="0.25">
      <c r="A288" s="60">
        <v>46154</v>
      </c>
      <c r="B288" s="59"/>
      <c r="C288" s="59"/>
      <c r="D288" s="69" t="s">
        <v>486</v>
      </c>
      <c r="E288" s="62"/>
      <c r="F288" s="62">
        <v>1</v>
      </c>
      <c r="G288" s="62">
        <f t="shared" si="12"/>
        <v>6.25</v>
      </c>
      <c r="H288" s="59"/>
    </row>
    <row r="289" spans="1:11" x14ac:dyDescent="0.25">
      <c r="A289" s="60">
        <v>46154</v>
      </c>
      <c r="B289" s="59"/>
      <c r="C289" s="59"/>
      <c r="D289" s="69" t="s">
        <v>487</v>
      </c>
      <c r="E289" s="62"/>
      <c r="F289" s="62">
        <v>1</v>
      </c>
      <c r="G289" s="62">
        <f t="shared" ref="G289:G324" si="13">G288+E289-F289</f>
        <v>5.25</v>
      </c>
      <c r="H289" s="59"/>
    </row>
    <row r="290" spans="1:11" x14ac:dyDescent="0.25">
      <c r="A290" s="60">
        <v>46156</v>
      </c>
      <c r="B290" s="59"/>
      <c r="C290" s="59"/>
      <c r="D290" s="69" t="s">
        <v>498</v>
      </c>
      <c r="E290" s="62"/>
      <c r="F290" s="62">
        <v>1</v>
      </c>
      <c r="G290" s="62">
        <f t="shared" si="13"/>
        <v>4.25</v>
      </c>
      <c r="H290" s="59"/>
    </row>
    <row r="291" spans="1:11" x14ac:dyDescent="0.25">
      <c r="A291" s="60">
        <v>46156</v>
      </c>
      <c r="B291" s="59"/>
      <c r="C291" s="59"/>
      <c r="D291" s="69" t="s">
        <v>499</v>
      </c>
      <c r="E291" s="62"/>
      <c r="F291" s="62">
        <v>0.5</v>
      </c>
      <c r="G291" s="62">
        <f t="shared" si="13"/>
        <v>3.75</v>
      </c>
      <c r="H291" s="59"/>
    </row>
    <row r="292" spans="1:11" x14ac:dyDescent="0.25">
      <c r="A292" s="60">
        <v>46157</v>
      </c>
      <c r="B292" s="59"/>
      <c r="C292" s="59"/>
      <c r="D292" s="69" t="s">
        <v>500</v>
      </c>
      <c r="E292" s="62"/>
      <c r="F292" s="62">
        <v>1</v>
      </c>
      <c r="G292" s="62">
        <f t="shared" si="13"/>
        <v>2.75</v>
      </c>
      <c r="H292" s="59"/>
    </row>
    <row r="293" spans="1:11" x14ac:dyDescent="0.25">
      <c r="A293" s="60">
        <v>46157</v>
      </c>
      <c r="B293" s="59"/>
      <c r="C293" s="59"/>
      <c r="D293" s="69" t="s">
        <v>500</v>
      </c>
      <c r="E293" s="62"/>
      <c r="F293" s="62">
        <v>1</v>
      </c>
      <c r="G293" s="62">
        <f t="shared" si="13"/>
        <v>1.75</v>
      </c>
      <c r="H293" s="59"/>
    </row>
    <row r="294" spans="1:11" x14ac:dyDescent="0.25">
      <c r="A294" s="60">
        <v>46157</v>
      </c>
      <c r="B294" s="59"/>
      <c r="C294" s="59"/>
      <c r="D294" s="69" t="s">
        <v>490</v>
      </c>
      <c r="E294" s="62"/>
      <c r="F294" s="62">
        <v>0.5</v>
      </c>
      <c r="G294" s="62">
        <f t="shared" si="13"/>
        <v>1.25</v>
      </c>
      <c r="H294" s="59"/>
    </row>
    <row r="295" spans="1:11" x14ac:dyDescent="0.25">
      <c r="A295" s="60">
        <v>46158</v>
      </c>
      <c r="B295" s="59"/>
      <c r="C295" s="59"/>
      <c r="D295" s="69" t="s">
        <v>501</v>
      </c>
      <c r="E295" s="62"/>
      <c r="F295" s="62">
        <v>0.5</v>
      </c>
      <c r="G295" s="62">
        <f t="shared" si="13"/>
        <v>0.75</v>
      </c>
      <c r="H295" s="59"/>
    </row>
    <row r="296" spans="1:11" x14ac:dyDescent="0.25">
      <c r="A296" s="60">
        <v>46159</v>
      </c>
      <c r="B296" s="59"/>
      <c r="C296" s="59"/>
      <c r="D296" s="69" t="s">
        <v>502</v>
      </c>
      <c r="E296" s="62"/>
      <c r="F296" s="62">
        <v>0.5</v>
      </c>
      <c r="G296" s="62">
        <f t="shared" si="13"/>
        <v>0.25</v>
      </c>
      <c r="H296" s="59"/>
    </row>
    <row r="297" spans="1:11" x14ac:dyDescent="0.25">
      <c r="A297" s="60">
        <v>46160</v>
      </c>
      <c r="B297" s="59"/>
      <c r="C297" s="59"/>
      <c r="D297" s="69" t="s">
        <v>505</v>
      </c>
      <c r="E297" s="62"/>
      <c r="F297" s="62">
        <v>0.25</v>
      </c>
      <c r="G297" s="62">
        <f t="shared" si="13"/>
        <v>0</v>
      </c>
      <c r="H297" s="59"/>
    </row>
    <row r="298" spans="1:11" x14ac:dyDescent="0.25">
      <c r="A298" s="74">
        <v>46162</v>
      </c>
      <c r="B298" s="72">
        <v>142348</v>
      </c>
      <c r="C298" s="72"/>
      <c r="D298" s="140" t="s">
        <v>489</v>
      </c>
      <c r="E298" s="73">
        <v>15</v>
      </c>
      <c r="F298" s="73"/>
      <c r="G298" s="73">
        <f t="shared" si="13"/>
        <v>15</v>
      </c>
      <c r="H298" s="72"/>
    </row>
    <row r="299" spans="1:11" x14ac:dyDescent="0.25">
      <c r="A299" s="60">
        <v>46162</v>
      </c>
      <c r="B299" s="59"/>
      <c r="C299" s="59"/>
      <c r="D299" s="69" t="s">
        <v>144</v>
      </c>
      <c r="E299" s="62"/>
      <c r="F299" s="62">
        <v>4</v>
      </c>
      <c r="G299" s="62">
        <f t="shared" si="13"/>
        <v>11</v>
      </c>
      <c r="H299" s="59"/>
    </row>
    <row r="300" spans="1:11" x14ac:dyDescent="0.25">
      <c r="A300" s="60">
        <v>46163</v>
      </c>
      <c r="B300" s="59"/>
      <c r="C300" s="59"/>
      <c r="D300" s="69" t="s">
        <v>190</v>
      </c>
      <c r="E300" s="62"/>
      <c r="F300" s="62">
        <v>0.5</v>
      </c>
      <c r="G300" s="62">
        <f t="shared" si="13"/>
        <v>10.5</v>
      </c>
      <c r="H300" s="59"/>
    </row>
    <row r="301" spans="1:11" x14ac:dyDescent="0.25">
      <c r="A301" s="60">
        <v>46164</v>
      </c>
      <c r="B301" s="59"/>
      <c r="C301" s="59"/>
      <c r="D301" s="69" t="s">
        <v>14</v>
      </c>
      <c r="E301" s="62"/>
      <c r="F301" s="62">
        <v>2</v>
      </c>
      <c r="G301" s="62">
        <f t="shared" si="13"/>
        <v>8.5</v>
      </c>
      <c r="H301" s="59"/>
    </row>
    <row r="302" spans="1:11" x14ac:dyDescent="0.25">
      <c r="A302" s="60">
        <v>46164</v>
      </c>
      <c r="B302" s="59"/>
      <c r="C302" s="59"/>
      <c r="D302" s="69" t="s">
        <v>90</v>
      </c>
      <c r="E302" s="62"/>
      <c r="F302" s="62">
        <v>2</v>
      </c>
      <c r="G302" s="62">
        <f t="shared" si="13"/>
        <v>6.5</v>
      </c>
      <c r="H302" s="59"/>
    </row>
    <row r="303" spans="1:11" x14ac:dyDescent="0.25">
      <c r="A303" s="60">
        <v>46164</v>
      </c>
      <c r="B303" s="59"/>
      <c r="C303" s="59"/>
      <c r="D303" s="69" t="s">
        <v>406</v>
      </c>
      <c r="E303" s="62"/>
      <c r="F303" s="62">
        <v>1</v>
      </c>
      <c r="G303" s="62">
        <f t="shared" si="13"/>
        <v>5.5</v>
      </c>
      <c r="H303" s="59"/>
      <c r="K303" s="57" t="s">
        <v>216</v>
      </c>
    </row>
    <row r="304" spans="1:11" x14ac:dyDescent="0.25">
      <c r="A304" s="60">
        <v>46164</v>
      </c>
      <c r="B304" s="59"/>
      <c r="C304" s="59"/>
      <c r="D304" s="69" t="s">
        <v>190</v>
      </c>
      <c r="E304" s="62"/>
      <c r="F304" s="62">
        <v>2</v>
      </c>
      <c r="G304" s="62">
        <f t="shared" si="13"/>
        <v>3.5</v>
      </c>
      <c r="H304" s="59"/>
    </row>
    <row r="305" spans="1:8" x14ac:dyDescent="0.25">
      <c r="A305" s="60">
        <v>46164</v>
      </c>
      <c r="B305" s="59"/>
      <c r="C305" s="59"/>
      <c r="D305" s="69" t="s">
        <v>90</v>
      </c>
      <c r="E305" s="62"/>
      <c r="F305" s="62">
        <v>1</v>
      </c>
      <c r="G305" s="62">
        <f t="shared" si="13"/>
        <v>2.5</v>
      </c>
      <c r="H305" s="59"/>
    </row>
    <row r="306" spans="1:8" x14ac:dyDescent="0.25">
      <c r="A306" s="60">
        <v>46165</v>
      </c>
      <c r="B306" s="59"/>
      <c r="C306" s="59"/>
      <c r="D306" s="69" t="s">
        <v>90</v>
      </c>
      <c r="E306" s="62"/>
      <c r="F306" s="62">
        <v>2</v>
      </c>
      <c r="G306" s="62">
        <f t="shared" si="13"/>
        <v>0.5</v>
      </c>
      <c r="H306" s="59"/>
    </row>
    <row r="307" spans="1:8" x14ac:dyDescent="0.25">
      <c r="A307" s="60">
        <v>46165</v>
      </c>
      <c r="B307" s="59">
        <v>166905</v>
      </c>
      <c r="C307" s="59"/>
      <c r="D307" s="69"/>
      <c r="E307" s="62">
        <v>15</v>
      </c>
      <c r="F307" s="62"/>
      <c r="G307" s="62">
        <f t="shared" si="13"/>
        <v>15.5</v>
      </c>
      <c r="H307" s="59"/>
    </row>
    <row r="308" spans="1:8" x14ac:dyDescent="0.25">
      <c r="A308" s="60">
        <v>46166</v>
      </c>
      <c r="B308" s="59"/>
      <c r="C308" s="59"/>
      <c r="D308" s="69" t="s">
        <v>90</v>
      </c>
      <c r="E308" s="62"/>
      <c r="F308" s="62">
        <v>1</v>
      </c>
      <c r="G308" s="62">
        <f t="shared" si="13"/>
        <v>14.5</v>
      </c>
      <c r="H308" s="59"/>
    </row>
    <row r="309" spans="1:8" x14ac:dyDescent="0.25">
      <c r="A309" s="60">
        <v>46168</v>
      </c>
      <c r="B309" s="59"/>
      <c r="C309" s="59"/>
      <c r="D309" s="69" t="s">
        <v>355</v>
      </c>
      <c r="E309" s="62"/>
      <c r="F309" s="62">
        <v>1</v>
      </c>
      <c r="G309" s="62">
        <f t="shared" si="13"/>
        <v>13.5</v>
      </c>
      <c r="H309" s="59"/>
    </row>
    <row r="310" spans="1:8" x14ac:dyDescent="0.25">
      <c r="A310" s="60">
        <v>46171</v>
      </c>
      <c r="B310" s="59"/>
      <c r="C310" s="59"/>
      <c r="D310" s="69" t="s">
        <v>190</v>
      </c>
      <c r="E310" s="62"/>
      <c r="F310" s="62">
        <v>1</v>
      </c>
      <c r="G310" s="62">
        <f t="shared" si="13"/>
        <v>12.5</v>
      </c>
      <c r="H310" s="59"/>
    </row>
    <row r="311" spans="1:8" x14ac:dyDescent="0.25">
      <c r="A311" s="60">
        <v>46171</v>
      </c>
      <c r="B311" s="59"/>
      <c r="C311" s="59"/>
      <c r="D311" s="69" t="s">
        <v>502</v>
      </c>
      <c r="E311" s="62"/>
      <c r="F311" s="62">
        <v>0.5</v>
      </c>
      <c r="G311" s="62">
        <f t="shared" si="13"/>
        <v>12</v>
      </c>
      <c r="H311" s="59"/>
    </row>
    <row r="312" spans="1:8" x14ac:dyDescent="0.25">
      <c r="A312" s="60">
        <v>46171</v>
      </c>
      <c r="B312" s="59"/>
      <c r="C312" s="59"/>
      <c r="D312" s="69" t="s">
        <v>299</v>
      </c>
      <c r="E312" s="62"/>
      <c r="F312" s="62">
        <v>0.5</v>
      </c>
      <c r="G312" s="62">
        <f t="shared" si="13"/>
        <v>11.5</v>
      </c>
      <c r="H312" s="59"/>
    </row>
    <row r="313" spans="1:8" x14ac:dyDescent="0.25">
      <c r="A313" s="60">
        <v>46175</v>
      </c>
      <c r="B313" s="59"/>
      <c r="C313" s="59"/>
      <c r="D313" s="69" t="s">
        <v>287</v>
      </c>
      <c r="E313" s="62"/>
      <c r="F313" s="62">
        <v>1</v>
      </c>
      <c r="G313" s="62">
        <f t="shared" si="13"/>
        <v>10.5</v>
      </c>
      <c r="H313" s="59"/>
    </row>
    <row r="314" spans="1:8" x14ac:dyDescent="0.25">
      <c r="A314" s="60">
        <v>46176</v>
      </c>
      <c r="B314" s="59"/>
      <c r="C314" s="59"/>
      <c r="D314" s="69" t="s">
        <v>247</v>
      </c>
      <c r="E314" s="62"/>
      <c r="F314" s="62">
        <v>1</v>
      </c>
      <c r="G314" s="62">
        <f t="shared" si="13"/>
        <v>9.5</v>
      </c>
      <c r="H314" s="59"/>
    </row>
    <row r="315" spans="1:8" x14ac:dyDescent="0.25">
      <c r="A315" s="60">
        <v>46177</v>
      </c>
      <c r="B315" s="59"/>
      <c r="C315" s="59"/>
      <c r="D315" s="69" t="s">
        <v>144</v>
      </c>
      <c r="E315" s="62"/>
      <c r="F315" s="62">
        <v>2</v>
      </c>
      <c r="G315" s="62">
        <f t="shared" si="13"/>
        <v>7.5</v>
      </c>
      <c r="H315" s="59"/>
    </row>
    <row r="316" spans="1:8" x14ac:dyDescent="0.25">
      <c r="A316" s="60">
        <v>46178</v>
      </c>
      <c r="B316" s="59"/>
      <c r="C316" s="59"/>
      <c r="D316" s="69">
        <v>1210</v>
      </c>
      <c r="E316" s="62"/>
      <c r="F316" s="62">
        <v>0.5</v>
      </c>
      <c r="G316" s="62">
        <f t="shared" si="13"/>
        <v>7</v>
      </c>
      <c r="H316" s="59"/>
    </row>
    <row r="317" spans="1:8" x14ac:dyDescent="0.25">
      <c r="A317" s="60">
        <v>46179</v>
      </c>
      <c r="B317" s="59"/>
      <c r="C317" s="59"/>
      <c r="D317" s="69" t="s">
        <v>14</v>
      </c>
      <c r="E317" s="62"/>
      <c r="F317" s="62">
        <v>1</v>
      </c>
      <c r="G317" s="62">
        <f t="shared" si="13"/>
        <v>6</v>
      </c>
      <c r="H317" s="59"/>
    </row>
    <row r="318" spans="1:8" x14ac:dyDescent="0.25">
      <c r="A318" s="60">
        <v>46179</v>
      </c>
      <c r="B318" s="59"/>
      <c r="C318" s="59"/>
      <c r="D318" s="69" t="s">
        <v>73</v>
      </c>
      <c r="E318" s="62"/>
      <c r="F318" s="62">
        <v>1</v>
      </c>
      <c r="G318" s="62">
        <f t="shared" si="13"/>
        <v>5</v>
      </c>
      <c r="H318" s="59"/>
    </row>
    <row r="319" spans="1:8" x14ac:dyDescent="0.25">
      <c r="A319" s="60">
        <v>46179</v>
      </c>
      <c r="B319" s="59"/>
      <c r="C319" s="59"/>
      <c r="D319" s="69" t="s">
        <v>143</v>
      </c>
      <c r="E319" s="62"/>
      <c r="F319" s="62">
        <v>2</v>
      </c>
      <c r="G319" s="62">
        <f t="shared" si="13"/>
        <v>3</v>
      </c>
      <c r="H319" s="59"/>
    </row>
    <row r="320" spans="1:8" x14ac:dyDescent="0.25">
      <c r="A320" s="60"/>
      <c r="B320" s="59"/>
      <c r="C320" s="59"/>
      <c r="D320" s="69"/>
      <c r="E320" s="62"/>
      <c r="F320" s="62"/>
      <c r="G320" s="62">
        <f t="shared" si="13"/>
        <v>3</v>
      </c>
      <c r="H320" s="59"/>
    </row>
    <row r="321" spans="1:8" x14ac:dyDescent="0.25">
      <c r="A321" s="60"/>
      <c r="B321" s="59"/>
      <c r="C321" s="59"/>
      <c r="D321" s="69"/>
      <c r="E321" s="62"/>
      <c r="F321" s="62"/>
      <c r="G321" s="62">
        <f t="shared" si="13"/>
        <v>3</v>
      </c>
      <c r="H321" s="59"/>
    </row>
    <row r="322" spans="1:8" x14ac:dyDescent="0.25">
      <c r="A322" s="60"/>
      <c r="B322" s="59"/>
      <c r="C322" s="59"/>
      <c r="D322" s="69"/>
      <c r="E322" s="62"/>
      <c r="F322" s="62"/>
      <c r="G322" s="62">
        <f t="shared" si="13"/>
        <v>3</v>
      </c>
      <c r="H322" s="59"/>
    </row>
    <row r="323" spans="1:8" x14ac:dyDescent="0.25">
      <c r="A323" s="60"/>
      <c r="B323" s="59"/>
      <c r="C323" s="59"/>
      <c r="D323" s="69"/>
      <c r="E323" s="62"/>
      <c r="F323" s="62"/>
      <c r="G323" s="62">
        <f t="shared" si="13"/>
        <v>3</v>
      </c>
      <c r="H323" s="59"/>
    </row>
    <row r="324" spans="1:8" x14ac:dyDescent="0.25">
      <c r="A324" s="60"/>
      <c r="B324" s="59"/>
      <c r="C324" s="59"/>
      <c r="D324" s="69"/>
      <c r="E324" s="62"/>
      <c r="F324" s="62"/>
      <c r="G324" s="62">
        <f t="shared" si="13"/>
        <v>3</v>
      </c>
      <c r="H324" s="59"/>
    </row>
  </sheetData>
  <autoFilter ref="A6:H131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opLeftCell="A16" workbookViewId="0">
      <selection activeCell="G39" sqref="G39"/>
    </sheetView>
  </sheetViews>
  <sheetFormatPr defaultRowHeight="15" x14ac:dyDescent="0.25"/>
  <cols>
    <col min="1" max="1" width="9.140625" style="31" customWidth="1"/>
    <col min="2" max="3" width="9.140625" style="31"/>
    <col min="4" max="4" width="21.5703125" style="31" customWidth="1"/>
    <col min="5" max="7" width="9.140625" style="44"/>
    <col min="8" max="16384" width="9.140625" style="31"/>
  </cols>
  <sheetData>
    <row r="1" spans="1:8" x14ac:dyDescent="0.25">
      <c r="A1" s="31" t="s">
        <v>0</v>
      </c>
    </row>
    <row r="2" spans="1:8" x14ac:dyDescent="0.25">
      <c r="A2" s="31" t="s">
        <v>1</v>
      </c>
    </row>
    <row r="3" spans="1:8" x14ac:dyDescent="0.25">
      <c r="A3" s="31" t="s">
        <v>2</v>
      </c>
    </row>
    <row r="4" spans="1:8" x14ac:dyDescent="0.25">
      <c r="A4" s="31" t="s">
        <v>3</v>
      </c>
    </row>
    <row r="6" spans="1:8" ht="16.5" x14ac:dyDescent="0.25">
      <c r="A6" s="59" t="s">
        <v>4</v>
      </c>
      <c r="B6" s="59" t="s">
        <v>6</v>
      </c>
      <c r="C6" s="59" t="s">
        <v>5</v>
      </c>
      <c r="D6" s="59" t="s">
        <v>7</v>
      </c>
      <c r="E6" s="62" t="s">
        <v>8</v>
      </c>
      <c r="F6" s="62" t="s">
        <v>9</v>
      </c>
      <c r="G6" s="62" t="s">
        <v>10</v>
      </c>
      <c r="H6" s="59" t="s">
        <v>11</v>
      </c>
    </row>
    <row r="7" spans="1:8" ht="16.5" x14ac:dyDescent="0.25">
      <c r="A7" s="60">
        <v>46140</v>
      </c>
      <c r="B7" s="59"/>
      <c r="C7" s="59"/>
      <c r="D7" s="59" t="s">
        <v>10</v>
      </c>
      <c r="E7" s="62"/>
      <c r="F7" s="62"/>
      <c r="G7" s="62">
        <v>1</v>
      </c>
      <c r="H7" s="59"/>
    </row>
    <row r="8" spans="1:8" ht="16.5" x14ac:dyDescent="0.25">
      <c r="A8" s="60">
        <v>46144</v>
      </c>
      <c r="B8" s="59"/>
      <c r="C8" s="59"/>
      <c r="D8" s="59" t="s">
        <v>433</v>
      </c>
      <c r="E8" s="62"/>
      <c r="F8" s="62">
        <v>0.5</v>
      </c>
      <c r="G8" s="62">
        <f>G7+E8-F8</f>
        <v>0.5</v>
      </c>
      <c r="H8" s="59"/>
    </row>
    <row r="9" spans="1:8" ht="16.5" x14ac:dyDescent="0.25">
      <c r="A9" s="60">
        <v>46146</v>
      </c>
      <c r="B9" s="59"/>
      <c r="C9" s="59"/>
      <c r="D9" s="59" t="s">
        <v>488</v>
      </c>
      <c r="E9" s="62"/>
      <c r="F9" s="62">
        <v>0.5</v>
      </c>
      <c r="G9" s="62">
        <f t="shared" ref="G9:G39" si="0">G8+E9-F9</f>
        <v>0</v>
      </c>
      <c r="H9" s="59"/>
    </row>
    <row r="10" spans="1:8" ht="16.5" x14ac:dyDescent="0.25">
      <c r="A10" s="74">
        <v>46146</v>
      </c>
      <c r="B10" s="72"/>
      <c r="C10" s="72"/>
      <c r="D10" s="72" t="s">
        <v>489</v>
      </c>
      <c r="E10" s="73">
        <v>3.65</v>
      </c>
      <c r="F10" s="73"/>
      <c r="G10" s="73">
        <f t="shared" si="0"/>
        <v>3.65</v>
      </c>
      <c r="H10" s="72"/>
    </row>
    <row r="11" spans="1:8" ht="16.5" x14ac:dyDescent="0.25">
      <c r="A11" s="60">
        <v>46151</v>
      </c>
      <c r="B11" s="59"/>
      <c r="C11" s="59"/>
      <c r="D11" s="59" t="s">
        <v>299</v>
      </c>
      <c r="E11" s="62"/>
      <c r="F11" s="62">
        <v>0.5</v>
      </c>
      <c r="G11" s="62">
        <f t="shared" si="0"/>
        <v>3.15</v>
      </c>
      <c r="H11" s="59"/>
    </row>
    <row r="12" spans="1:8" ht="16.5" x14ac:dyDescent="0.25">
      <c r="A12" s="60">
        <v>46153</v>
      </c>
      <c r="B12" s="59"/>
      <c r="C12" s="59"/>
      <c r="D12" s="59" t="s">
        <v>315</v>
      </c>
      <c r="E12" s="62"/>
      <c r="F12" s="62">
        <v>0.5</v>
      </c>
      <c r="G12" s="62">
        <f t="shared" si="0"/>
        <v>2.65</v>
      </c>
      <c r="H12" s="59"/>
    </row>
    <row r="13" spans="1:8" ht="16.5" x14ac:dyDescent="0.25">
      <c r="A13" s="60">
        <v>46168</v>
      </c>
      <c r="B13" s="59"/>
      <c r="C13" s="59"/>
      <c r="D13" s="59" t="s">
        <v>513</v>
      </c>
      <c r="E13" s="62"/>
      <c r="F13" s="62">
        <v>0.5</v>
      </c>
      <c r="G13" s="62">
        <f t="shared" si="0"/>
        <v>2.15</v>
      </c>
      <c r="H13" s="59"/>
    </row>
    <row r="14" spans="1:8" ht="16.5" x14ac:dyDescent="0.25">
      <c r="A14" s="60">
        <v>46170</v>
      </c>
      <c r="B14" s="59"/>
      <c r="C14" s="59"/>
      <c r="D14" s="59" t="s">
        <v>275</v>
      </c>
      <c r="E14" s="62"/>
      <c r="F14" s="62">
        <v>0.5</v>
      </c>
      <c r="G14" s="62">
        <f t="shared" si="0"/>
        <v>1.65</v>
      </c>
      <c r="H14" s="59"/>
    </row>
    <row r="15" spans="1:8" ht="16.5" x14ac:dyDescent="0.25">
      <c r="A15" s="60">
        <v>46175</v>
      </c>
      <c r="B15" s="59"/>
      <c r="C15" s="59"/>
      <c r="D15" s="59" t="s">
        <v>62</v>
      </c>
      <c r="E15" s="62"/>
      <c r="F15" s="62">
        <v>0.5</v>
      </c>
      <c r="G15" s="62">
        <f t="shared" si="0"/>
        <v>1.1499999999999999</v>
      </c>
      <c r="H15" s="59"/>
    </row>
    <row r="16" spans="1:8" ht="16.5" x14ac:dyDescent="0.25">
      <c r="A16" s="60"/>
      <c r="B16" s="59"/>
      <c r="C16" s="59"/>
      <c r="D16" s="59"/>
      <c r="E16" s="62"/>
      <c r="F16" s="62"/>
      <c r="G16" s="62">
        <f t="shared" si="0"/>
        <v>1.1499999999999999</v>
      </c>
      <c r="H16" s="59"/>
    </row>
    <row r="17" spans="1:8" ht="16.5" x14ac:dyDescent="0.25">
      <c r="A17" s="60"/>
      <c r="B17" s="59"/>
      <c r="C17" s="59"/>
      <c r="D17" s="59"/>
      <c r="E17" s="62"/>
      <c r="F17" s="62"/>
      <c r="G17" s="62">
        <f t="shared" si="0"/>
        <v>1.1499999999999999</v>
      </c>
      <c r="H17" s="59"/>
    </row>
    <row r="18" spans="1:8" ht="16.5" x14ac:dyDescent="0.25">
      <c r="A18" s="60"/>
      <c r="B18" s="59"/>
      <c r="C18" s="59"/>
      <c r="D18" s="59"/>
      <c r="E18" s="62"/>
      <c r="F18" s="62"/>
      <c r="G18" s="62">
        <f t="shared" si="0"/>
        <v>1.1499999999999999</v>
      </c>
      <c r="H18" s="59"/>
    </row>
    <row r="19" spans="1:8" ht="16.5" x14ac:dyDescent="0.25">
      <c r="A19" s="60"/>
      <c r="B19" s="59"/>
      <c r="C19" s="59"/>
      <c r="D19" s="59"/>
      <c r="E19" s="62"/>
      <c r="F19" s="62"/>
      <c r="G19" s="62">
        <f t="shared" si="0"/>
        <v>1.1499999999999999</v>
      </c>
      <c r="H19" s="59"/>
    </row>
    <row r="20" spans="1:8" ht="16.5" x14ac:dyDescent="0.25">
      <c r="A20" s="60"/>
      <c r="B20" s="59"/>
      <c r="C20" s="59"/>
      <c r="D20" s="59"/>
      <c r="E20" s="62"/>
      <c r="F20" s="62"/>
      <c r="G20" s="62">
        <f t="shared" si="0"/>
        <v>1.1499999999999999</v>
      </c>
      <c r="H20" s="59"/>
    </row>
    <row r="21" spans="1:8" ht="16.5" x14ac:dyDescent="0.25">
      <c r="A21" s="60"/>
      <c r="B21" s="59"/>
      <c r="C21" s="59"/>
      <c r="D21" s="59"/>
      <c r="E21" s="62"/>
      <c r="F21" s="62"/>
      <c r="G21" s="62">
        <f t="shared" si="0"/>
        <v>1.1499999999999999</v>
      </c>
      <c r="H21" s="59"/>
    </row>
    <row r="22" spans="1:8" ht="16.5" x14ac:dyDescent="0.25">
      <c r="A22" s="74"/>
      <c r="B22" s="72"/>
      <c r="C22" s="72"/>
      <c r="D22" s="72"/>
      <c r="E22" s="73"/>
      <c r="F22" s="73"/>
      <c r="G22" s="62">
        <f t="shared" si="0"/>
        <v>1.1499999999999999</v>
      </c>
      <c r="H22" s="72"/>
    </row>
    <row r="23" spans="1:8" ht="16.5" x14ac:dyDescent="0.25">
      <c r="A23" s="60"/>
      <c r="B23" s="59"/>
      <c r="C23" s="59"/>
      <c r="D23" s="59"/>
      <c r="E23" s="62"/>
      <c r="F23" s="62"/>
      <c r="G23" s="62">
        <f t="shared" si="0"/>
        <v>1.1499999999999999</v>
      </c>
      <c r="H23" s="59"/>
    </row>
    <row r="24" spans="1:8" ht="16.5" x14ac:dyDescent="0.25">
      <c r="A24" s="60"/>
      <c r="B24" s="59"/>
      <c r="C24" s="59"/>
      <c r="D24" s="59"/>
      <c r="E24" s="62"/>
      <c r="F24" s="62"/>
      <c r="G24" s="62">
        <f t="shared" si="0"/>
        <v>1.1499999999999999</v>
      </c>
      <c r="H24" s="59"/>
    </row>
    <row r="25" spans="1:8" ht="16.5" x14ac:dyDescent="0.25">
      <c r="A25" s="60"/>
      <c r="B25" s="59"/>
      <c r="C25" s="59"/>
      <c r="D25" s="59"/>
      <c r="E25" s="62"/>
      <c r="F25" s="62"/>
      <c r="G25" s="62">
        <f t="shared" si="0"/>
        <v>1.1499999999999999</v>
      </c>
      <c r="H25" s="59"/>
    </row>
    <row r="26" spans="1:8" ht="16.5" x14ac:dyDescent="0.25">
      <c r="A26" s="60"/>
      <c r="B26" s="59"/>
      <c r="C26" s="59"/>
      <c r="D26" s="59"/>
      <c r="E26" s="62"/>
      <c r="F26" s="62"/>
      <c r="G26" s="62">
        <f t="shared" si="0"/>
        <v>1.1499999999999999</v>
      </c>
      <c r="H26" s="59"/>
    </row>
    <row r="27" spans="1:8" ht="16.5" x14ac:dyDescent="0.25">
      <c r="A27" s="60"/>
      <c r="B27" s="59"/>
      <c r="C27" s="59"/>
      <c r="D27" s="59"/>
      <c r="E27" s="62"/>
      <c r="F27" s="62"/>
      <c r="G27" s="62">
        <f t="shared" si="0"/>
        <v>1.1499999999999999</v>
      </c>
      <c r="H27" s="59"/>
    </row>
    <row r="28" spans="1:8" ht="16.5" x14ac:dyDescent="0.25">
      <c r="A28" s="60"/>
      <c r="B28" s="59"/>
      <c r="C28" s="59"/>
      <c r="D28" s="59"/>
      <c r="E28" s="62"/>
      <c r="F28" s="62"/>
      <c r="G28" s="62">
        <f t="shared" si="0"/>
        <v>1.1499999999999999</v>
      </c>
      <c r="H28" s="59"/>
    </row>
    <row r="29" spans="1:8" ht="16.5" x14ac:dyDescent="0.25">
      <c r="A29" s="60"/>
      <c r="B29" s="59"/>
      <c r="C29" s="59"/>
      <c r="D29" s="59"/>
      <c r="E29" s="62"/>
      <c r="F29" s="62"/>
      <c r="G29" s="62">
        <f t="shared" si="0"/>
        <v>1.1499999999999999</v>
      </c>
      <c r="H29" s="59"/>
    </row>
    <row r="30" spans="1:8" ht="16.5" x14ac:dyDescent="0.25">
      <c r="A30" s="60"/>
      <c r="B30" s="59"/>
      <c r="C30" s="59"/>
      <c r="D30" s="59"/>
      <c r="E30" s="62"/>
      <c r="F30" s="62"/>
      <c r="G30" s="62">
        <f t="shared" si="0"/>
        <v>1.1499999999999999</v>
      </c>
      <c r="H30" s="59"/>
    </row>
    <row r="31" spans="1:8" ht="16.5" x14ac:dyDescent="0.25">
      <c r="A31" s="74"/>
      <c r="B31" s="72"/>
      <c r="C31" s="72"/>
      <c r="D31" s="72"/>
      <c r="E31" s="73"/>
      <c r="F31" s="73"/>
      <c r="G31" s="62">
        <f t="shared" si="0"/>
        <v>1.1499999999999999</v>
      </c>
      <c r="H31" s="72"/>
    </row>
    <row r="32" spans="1:8" ht="16.5" x14ac:dyDescent="0.25">
      <c r="A32" s="60"/>
      <c r="B32" s="59"/>
      <c r="C32" s="59"/>
      <c r="D32" s="59"/>
      <c r="E32" s="62"/>
      <c r="F32" s="62"/>
      <c r="G32" s="62">
        <f t="shared" si="0"/>
        <v>1.1499999999999999</v>
      </c>
      <c r="H32" s="59"/>
    </row>
    <row r="33" spans="1:8" ht="16.5" x14ac:dyDescent="0.25">
      <c r="A33" s="60"/>
      <c r="B33" s="59"/>
      <c r="C33" s="59"/>
      <c r="D33" s="59"/>
      <c r="E33" s="62"/>
      <c r="F33" s="62"/>
      <c r="G33" s="62">
        <f t="shared" si="0"/>
        <v>1.1499999999999999</v>
      </c>
      <c r="H33" s="59"/>
    </row>
    <row r="34" spans="1:8" ht="16.5" x14ac:dyDescent="0.25">
      <c r="A34" s="60"/>
      <c r="B34" s="59"/>
      <c r="C34" s="59"/>
      <c r="D34" s="59"/>
      <c r="E34" s="62"/>
      <c r="F34" s="62"/>
      <c r="G34" s="62">
        <f t="shared" si="0"/>
        <v>1.1499999999999999</v>
      </c>
      <c r="H34" s="59"/>
    </row>
    <row r="35" spans="1:8" ht="16.5" x14ac:dyDescent="0.25">
      <c r="A35" s="60"/>
      <c r="B35" s="59"/>
      <c r="C35" s="59"/>
      <c r="D35" s="59"/>
      <c r="E35" s="62"/>
      <c r="F35" s="62"/>
      <c r="G35" s="62">
        <f t="shared" si="0"/>
        <v>1.1499999999999999</v>
      </c>
      <c r="H35" s="59"/>
    </row>
    <row r="36" spans="1:8" ht="16.5" x14ac:dyDescent="0.25">
      <c r="A36" s="60"/>
      <c r="B36" s="59"/>
      <c r="C36" s="59"/>
      <c r="D36" s="59"/>
      <c r="E36" s="62"/>
      <c r="F36" s="62"/>
      <c r="G36" s="62">
        <f t="shared" si="0"/>
        <v>1.1499999999999999</v>
      </c>
      <c r="H36" s="59"/>
    </row>
    <row r="37" spans="1:8" ht="16.5" x14ac:dyDescent="0.25">
      <c r="A37" s="60"/>
      <c r="B37" s="59"/>
      <c r="C37" s="59"/>
      <c r="D37" s="59"/>
      <c r="E37" s="62"/>
      <c r="F37" s="62"/>
      <c r="G37" s="62">
        <f t="shared" si="0"/>
        <v>1.1499999999999999</v>
      </c>
      <c r="H37" s="59"/>
    </row>
    <row r="38" spans="1:8" ht="16.5" x14ac:dyDescent="0.25">
      <c r="A38" s="60"/>
      <c r="B38" s="59"/>
      <c r="C38" s="59"/>
      <c r="D38" s="59"/>
      <c r="E38" s="62"/>
      <c r="F38" s="62"/>
      <c r="G38" s="62">
        <f t="shared" si="0"/>
        <v>1.1499999999999999</v>
      </c>
      <c r="H38" s="59"/>
    </row>
    <row r="39" spans="1:8" ht="16.5" x14ac:dyDescent="0.25">
      <c r="A39" s="74"/>
      <c r="B39" s="72"/>
      <c r="C39" s="72"/>
      <c r="D39" s="72"/>
      <c r="E39" s="73"/>
      <c r="F39" s="73"/>
      <c r="G39" s="73">
        <f t="shared" si="0"/>
        <v>1.1499999999999999</v>
      </c>
      <c r="H39" s="72"/>
    </row>
  </sheetData>
  <autoFilter ref="A6:H39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F13" sqref="F13"/>
    </sheetView>
  </sheetViews>
  <sheetFormatPr defaultRowHeight="16.5" x14ac:dyDescent="0.25"/>
  <cols>
    <col min="1" max="3" width="9.140625" style="57"/>
    <col min="4" max="4" width="21.5703125" style="57" customWidth="1"/>
    <col min="5" max="5" width="10" style="61" bestFit="1" customWidth="1"/>
    <col min="6" max="6" width="9.28515625" style="61" bestFit="1" customWidth="1"/>
    <col min="7" max="7" width="10" style="61" bestFit="1" customWidth="1"/>
    <col min="8" max="16384" width="9.140625" style="57"/>
  </cols>
  <sheetData>
    <row r="1" spans="1:8" x14ac:dyDescent="0.25">
      <c r="A1" s="57" t="s">
        <v>0</v>
      </c>
    </row>
    <row r="2" spans="1:8" x14ac:dyDescent="0.25">
      <c r="A2" s="57" t="s">
        <v>1</v>
      </c>
    </row>
    <row r="3" spans="1:8" x14ac:dyDescent="0.25">
      <c r="A3" s="57" t="s">
        <v>2</v>
      </c>
    </row>
    <row r="4" spans="1:8" x14ac:dyDescent="0.25">
      <c r="A4" s="57" t="s">
        <v>398</v>
      </c>
    </row>
    <row r="6" spans="1:8" x14ac:dyDescent="0.25">
      <c r="A6" s="59" t="s">
        <v>4</v>
      </c>
      <c r="B6" s="59" t="s">
        <v>6</v>
      </c>
      <c r="C6" s="59" t="s">
        <v>5</v>
      </c>
      <c r="D6" s="59" t="s">
        <v>7</v>
      </c>
      <c r="E6" s="62" t="s">
        <v>8</v>
      </c>
      <c r="F6" s="62" t="s">
        <v>9</v>
      </c>
      <c r="G6" s="62" t="s">
        <v>10</v>
      </c>
      <c r="H6" s="59" t="s">
        <v>11</v>
      </c>
    </row>
    <row r="7" spans="1:8" x14ac:dyDescent="0.25">
      <c r="A7" s="60">
        <v>46106</v>
      </c>
      <c r="B7" s="59">
        <v>142331</v>
      </c>
      <c r="C7" s="59"/>
      <c r="D7" s="59" t="s">
        <v>399</v>
      </c>
      <c r="E7" s="62">
        <v>18</v>
      </c>
      <c r="F7" s="62"/>
      <c r="G7" s="62">
        <f>E7</f>
        <v>18</v>
      </c>
      <c r="H7" s="59"/>
    </row>
    <row r="8" spans="1:8" x14ac:dyDescent="0.25">
      <c r="A8" s="60">
        <v>46116</v>
      </c>
      <c r="B8" s="59"/>
      <c r="C8" s="59"/>
      <c r="D8" s="59" t="s">
        <v>400</v>
      </c>
      <c r="E8" s="62"/>
      <c r="F8" s="62">
        <v>5</v>
      </c>
      <c r="G8" s="62">
        <f>G7+E8-F8</f>
        <v>13</v>
      </c>
      <c r="H8" s="59"/>
    </row>
    <row r="9" spans="1:8" x14ac:dyDescent="0.25">
      <c r="A9" s="60">
        <v>46147</v>
      </c>
      <c r="B9" s="59"/>
      <c r="C9" s="59"/>
      <c r="D9" s="59" t="s">
        <v>421</v>
      </c>
      <c r="E9" s="62"/>
      <c r="F9" s="62">
        <v>1</v>
      </c>
      <c r="G9" s="62">
        <f t="shared" ref="G9:G20" si="0">G8+E9-F9</f>
        <v>12</v>
      </c>
      <c r="H9" s="59"/>
    </row>
    <row r="10" spans="1:8" x14ac:dyDescent="0.25">
      <c r="A10" s="60">
        <v>46150</v>
      </c>
      <c r="B10" s="59"/>
      <c r="C10" s="59"/>
      <c r="D10" s="59" t="s">
        <v>143</v>
      </c>
      <c r="E10" s="62"/>
      <c r="F10" s="62">
        <v>2</v>
      </c>
      <c r="G10" s="62">
        <f t="shared" si="0"/>
        <v>10</v>
      </c>
      <c r="H10" s="59"/>
    </row>
    <row r="11" spans="1:8" x14ac:dyDescent="0.25">
      <c r="A11" s="60">
        <v>46154</v>
      </c>
      <c r="B11" s="59"/>
      <c r="C11" s="59"/>
      <c r="D11" s="59" t="s">
        <v>486</v>
      </c>
      <c r="E11" s="62"/>
      <c r="F11" s="62">
        <v>1.5</v>
      </c>
      <c r="G11" s="62">
        <f t="shared" si="0"/>
        <v>8.5</v>
      </c>
      <c r="H11" s="59"/>
    </row>
    <row r="12" spans="1:8" x14ac:dyDescent="0.25">
      <c r="A12" s="60">
        <v>46154</v>
      </c>
      <c r="B12" s="59"/>
      <c r="C12" s="59"/>
      <c r="D12" s="59" t="s">
        <v>486</v>
      </c>
      <c r="E12" s="62"/>
      <c r="F12" s="62">
        <v>3.5</v>
      </c>
      <c r="G12" s="62">
        <f t="shared" si="0"/>
        <v>5</v>
      </c>
      <c r="H12" s="59"/>
    </row>
    <row r="13" spans="1:8" x14ac:dyDescent="0.25">
      <c r="A13" s="60">
        <v>46176</v>
      </c>
      <c r="B13" s="59"/>
      <c r="C13" s="59"/>
      <c r="D13" s="59" t="s">
        <v>87</v>
      </c>
      <c r="E13" s="62"/>
      <c r="F13" s="62">
        <v>0.5</v>
      </c>
      <c r="G13" s="62">
        <f t="shared" si="0"/>
        <v>4.5</v>
      </c>
      <c r="H13" s="59"/>
    </row>
    <row r="14" spans="1:8" x14ac:dyDescent="0.25">
      <c r="A14" s="59"/>
      <c r="B14" s="59"/>
      <c r="C14" s="59"/>
      <c r="D14" s="59"/>
      <c r="E14" s="62"/>
      <c r="F14" s="62"/>
      <c r="G14" s="62">
        <f t="shared" si="0"/>
        <v>4.5</v>
      </c>
      <c r="H14" s="59"/>
    </row>
    <row r="15" spans="1:8" x14ac:dyDescent="0.25">
      <c r="A15" s="59"/>
      <c r="B15" s="59"/>
      <c r="C15" s="59"/>
      <c r="D15" s="59"/>
      <c r="E15" s="62"/>
      <c r="F15" s="62"/>
      <c r="G15" s="62">
        <f t="shared" si="0"/>
        <v>4.5</v>
      </c>
      <c r="H15" s="59"/>
    </row>
    <row r="16" spans="1:8" x14ac:dyDescent="0.25">
      <c r="A16" s="59"/>
      <c r="B16" s="59"/>
      <c r="C16" s="59"/>
      <c r="D16" s="59"/>
      <c r="E16" s="62"/>
      <c r="F16" s="62"/>
      <c r="G16" s="62">
        <f t="shared" si="0"/>
        <v>4.5</v>
      </c>
      <c r="H16" s="59"/>
    </row>
    <row r="17" spans="1:9" x14ac:dyDescent="0.25">
      <c r="A17" s="59"/>
      <c r="B17" s="59"/>
      <c r="C17" s="59"/>
      <c r="D17" s="59"/>
      <c r="E17" s="62"/>
      <c r="F17" s="62"/>
      <c r="G17" s="62">
        <f t="shared" si="0"/>
        <v>4.5</v>
      </c>
      <c r="H17" s="59"/>
    </row>
    <row r="18" spans="1:9" x14ac:dyDescent="0.25">
      <c r="A18" s="59"/>
      <c r="B18" s="59"/>
      <c r="C18" s="59"/>
      <c r="D18" s="59"/>
      <c r="E18" s="62"/>
      <c r="F18" s="62"/>
      <c r="G18" s="62">
        <f t="shared" si="0"/>
        <v>4.5</v>
      </c>
      <c r="H18" s="59"/>
    </row>
    <row r="19" spans="1:9" x14ac:dyDescent="0.25">
      <c r="A19" s="59"/>
      <c r="B19" s="59"/>
      <c r="C19" s="59"/>
      <c r="D19" s="59"/>
      <c r="E19" s="62"/>
      <c r="F19" s="62"/>
      <c r="G19" s="62">
        <f t="shared" si="0"/>
        <v>4.5</v>
      </c>
      <c r="H19" s="59"/>
    </row>
    <row r="20" spans="1:9" x14ac:dyDescent="0.25">
      <c r="A20" s="59"/>
      <c r="B20" s="59"/>
      <c r="C20" s="59"/>
      <c r="D20" s="59"/>
      <c r="E20" s="62"/>
      <c r="F20" s="62"/>
      <c r="G20" s="62">
        <f t="shared" si="0"/>
        <v>4.5</v>
      </c>
      <c r="H20" s="59"/>
    </row>
    <row r="28" spans="1:9" x14ac:dyDescent="0.25">
      <c r="I28" s="57" t="s">
        <v>216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abSelected="1" topLeftCell="B10" workbookViewId="0">
      <selection activeCell="K30" sqref="K30"/>
    </sheetView>
  </sheetViews>
  <sheetFormatPr defaultRowHeight="15" x14ac:dyDescent="0.25"/>
  <cols>
    <col min="4" max="4" width="21.570312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4" spans="1:15" x14ac:dyDescent="0.25">
      <c r="A4" t="s">
        <v>496</v>
      </c>
    </row>
    <row r="6" spans="1:15" x14ac:dyDescent="0.25">
      <c r="A6" s="1" t="s">
        <v>4</v>
      </c>
      <c r="B6" s="1" t="s">
        <v>6</v>
      </c>
      <c r="C6" s="1" t="s">
        <v>5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</row>
    <row r="7" spans="1:15" x14ac:dyDescent="0.25">
      <c r="A7" s="3">
        <v>46144</v>
      </c>
      <c r="B7" s="1"/>
      <c r="C7" s="1"/>
      <c r="D7" s="1" t="s">
        <v>37</v>
      </c>
      <c r="E7" s="1"/>
      <c r="F7" s="1"/>
      <c r="G7" s="1">
        <v>1</v>
      </c>
      <c r="H7" s="1"/>
    </row>
    <row r="8" spans="1:15" x14ac:dyDescent="0.25">
      <c r="A8" s="3">
        <v>46145</v>
      </c>
      <c r="B8" s="1"/>
      <c r="C8" s="1"/>
      <c r="D8" s="1" t="s">
        <v>497</v>
      </c>
      <c r="E8" s="1"/>
      <c r="F8" s="1">
        <v>0.5</v>
      </c>
      <c r="G8" s="1">
        <f>G7+E8-F8</f>
        <v>0.5</v>
      </c>
      <c r="H8" s="1"/>
    </row>
    <row r="9" spans="1:15" x14ac:dyDescent="0.25">
      <c r="A9" s="3">
        <v>46146</v>
      </c>
      <c r="B9" s="1"/>
      <c r="C9" s="1"/>
      <c r="D9" s="1" t="s">
        <v>497</v>
      </c>
      <c r="E9" s="1"/>
      <c r="F9" s="1">
        <v>0.5</v>
      </c>
      <c r="G9" s="1">
        <f t="shared" ref="G9:G16" si="0">G8+E9-F9</f>
        <v>0</v>
      </c>
      <c r="H9" s="1"/>
    </row>
    <row r="10" spans="1:15" x14ac:dyDescent="0.25">
      <c r="A10" s="4">
        <v>46147</v>
      </c>
      <c r="B10" s="2">
        <v>142337</v>
      </c>
      <c r="C10" s="2"/>
      <c r="D10" s="2" t="s">
        <v>489</v>
      </c>
      <c r="E10" s="2">
        <v>10</v>
      </c>
      <c r="F10" s="2"/>
      <c r="G10" s="2">
        <f t="shared" si="0"/>
        <v>10</v>
      </c>
      <c r="H10" s="2"/>
    </row>
    <row r="11" spans="1:15" x14ac:dyDescent="0.25">
      <c r="A11" s="3">
        <v>46147</v>
      </c>
      <c r="B11" s="1"/>
      <c r="C11" s="1"/>
      <c r="D11" s="1" t="s">
        <v>497</v>
      </c>
      <c r="E11" s="1"/>
      <c r="F11" s="1">
        <v>1.5</v>
      </c>
      <c r="G11" s="1">
        <f t="shared" si="0"/>
        <v>8.5</v>
      </c>
      <c r="H11" s="1"/>
    </row>
    <row r="12" spans="1:15" x14ac:dyDescent="0.25">
      <c r="A12" s="3">
        <v>46148</v>
      </c>
      <c r="B12" s="1"/>
      <c r="C12" s="1"/>
      <c r="D12" s="1" t="s">
        <v>497</v>
      </c>
      <c r="E12" s="1"/>
      <c r="F12" s="1">
        <v>1.25</v>
      </c>
      <c r="G12" s="1">
        <f t="shared" si="0"/>
        <v>7.25</v>
      </c>
      <c r="H12" s="1"/>
    </row>
    <row r="13" spans="1:15" x14ac:dyDescent="0.25">
      <c r="A13" s="3">
        <v>46149</v>
      </c>
      <c r="B13" s="1"/>
      <c r="C13" s="1"/>
      <c r="D13" s="1" t="s">
        <v>497</v>
      </c>
      <c r="E13" s="1"/>
      <c r="F13" s="1">
        <v>1.75</v>
      </c>
      <c r="G13" s="1">
        <f t="shared" si="0"/>
        <v>5.5</v>
      </c>
      <c r="H13" s="1"/>
    </row>
    <row r="14" spans="1:15" x14ac:dyDescent="0.25">
      <c r="A14" s="3">
        <v>46150</v>
      </c>
      <c r="B14" s="1"/>
      <c r="C14" s="1"/>
      <c r="D14" s="1" t="s">
        <v>497</v>
      </c>
      <c r="E14" s="1"/>
      <c r="F14" s="1">
        <v>2</v>
      </c>
      <c r="G14" s="1">
        <f t="shared" si="0"/>
        <v>3.5</v>
      </c>
      <c r="H14" s="1"/>
    </row>
    <row r="15" spans="1:15" x14ac:dyDescent="0.25">
      <c r="A15" s="3">
        <v>46151</v>
      </c>
      <c r="B15" s="1"/>
      <c r="C15" s="1"/>
      <c r="D15" s="1" t="s">
        <v>497</v>
      </c>
      <c r="E15" s="1"/>
      <c r="F15" s="1">
        <v>1</v>
      </c>
      <c r="G15" s="1">
        <f t="shared" si="0"/>
        <v>2.5</v>
      </c>
      <c r="H15" s="1"/>
    </row>
    <row r="16" spans="1:15" x14ac:dyDescent="0.25">
      <c r="A16" s="3">
        <v>46152</v>
      </c>
      <c r="B16" s="1"/>
      <c r="C16" s="1"/>
      <c r="D16" s="1" t="s">
        <v>497</v>
      </c>
      <c r="E16" s="1"/>
      <c r="F16" s="1">
        <v>0.75</v>
      </c>
      <c r="G16" s="1">
        <f t="shared" si="0"/>
        <v>1.75</v>
      </c>
      <c r="H16" s="1"/>
      <c r="O16" t="s">
        <v>503</v>
      </c>
    </row>
    <row r="17" spans="1:8" x14ac:dyDescent="0.25">
      <c r="A17" s="3">
        <v>46153</v>
      </c>
      <c r="B17" s="1"/>
      <c r="C17" s="1"/>
      <c r="D17" s="1" t="s">
        <v>497</v>
      </c>
      <c r="E17" s="1"/>
      <c r="F17" s="1">
        <v>0.75</v>
      </c>
      <c r="G17" s="1">
        <f t="shared" ref="G17:G37" si="1">G16+E17-F17</f>
        <v>1</v>
      </c>
      <c r="H17" s="1"/>
    </row>
    <row r="18" spans="1:8" x14ac:dyDescent="0.25">
      <c r="A18" s="3">
        <v>46154</v>
      </c>
      <c r="B18" s="1"/>
      <c r="C18" s="1"/>
      <c r="D18" s="1" t="s">
        <v>497</v>
      </c>
      <c r="E18" s="1"/>
      <c r="F18" s="1">
        <v>1</v>
      </c>
      <c r="G18" s="1">
        <f t="shared" si="1"/>
        <v>0</v>
      </c>
      <c r="H18" s="1"/>
    </row>
    <row r="19" spans="1:8" x14ac:dyDescent="0.25">
      <c r="A19" s="4">
        <v>46155</v>
      </c>
      <c r="B19" s="2">
        <v>142337</v>
      </c>
      <c r="C19" s="2"/>
      <c r="D19" s="2" t="s">
        <v>489</v>
      </c>
      <c r="E19" s="2">
        <v>7.6</v>
      </c>
      <c r="F19" s="2"/>
      <c r="G19" s="2">
        <f>G18+E19-F19</f>
        <v>7.6</v>
      </c>
      <c r="H19" s="2"/>
    </row>
    <row r="20" spans="1:8" x14ac:dyDescent="0.25">
      <c r="A20" s="3">
        <v>46155</v>
      </c>
      <c r="B20" s="1"/>
      <c r="C20" s="1"/>
      <c r="D20" s="1" t="s">
        <v>497</v>
      </c>
      <c r="E20" s="1"/>
      <c r="F20" s="1">
        <v>2.5</v>
      </c>
      <c r="G20" s="1">
        <f t="shared" si="1"/>
        <v>5.0999999999999996</v>
      </c>
      <c r="H20" s="1"/>
    </row>
    <row r="21" spans="1:8" x14ac:dyDescent="0.25">
      <c r="A21" s="3">
        <v>46156</v>
      </c>
      <c r="B21" s="1"/>
      <c r="C21" s="1"/>
      <c r="D21" s="1" t="s">
        <v>497</v>
      </c>
      <c r="E21" s="1"/>
      <c r="F21" s="1">
        <v>1</v>
      </c>
      <c r="G21" s="1">
        <f t="shared" si="1"/>
        <v>4.0999999999999996</v>
      </c>
      <c r="H21" s="1"/>
    </row>
    <row r="22" spans="1:8" x14ac:dyDescent="0.25">
      <c r="A22" s="3">
        <v>46157</v>
      </c>
      <c r="B22" s="1"/>
      <c r="C22" s="1"/>
      <c r="D22" s="1" t="s">
        <v>497</v>
      </c>
      <c r="E22" s="1"/>
      <c r="F22" s="1">
        <v>1</v>
      </c>
      <c r="G22" s="1">
        <f t="shared" si="1"/>
        <v>3.0999999999999996</v>
      </c>
      <c r="H22" s="1"/>
    </row>
    <row r="23" spans="1:8" x14ac:dyDescent="0.25">
      <c r="A23" s="3">
        <v>46158</v>
      </c>
      <c r="B23" s="1"/>
      <c r="C23" s="1"/>
      <c r="D23" s="1" t="s">
        <v>497</v>
      </c>
      <c r="E23" s="1"/>
      <c r="F23" s="1">
        <v>1.5</v>
      </c>
      <c r="G23" s="1">
        <f t="shared" si="1"/>
        <v>1.5999999999999996</v>
      </c>
      <c r="H23" s="1"/>
    </row>
    <row r="24" spans="1:8" x14ac:dyDescent="0.25">
      <c r="A24" s="3">
        <v>46159</v>
      </c>
      <c r="B24" s="1"/>
      <c r="C24" s="1"/>
      <c r="D24" s="1" t="s">
        <v>497</v>
      </c>
      <c r="E24" s="1"/>
      <c r="F24" s="1">
        <v>0.6</v>
      </c>
      <c r="G24" s="1">
        <f t="shared" si="1"/>
        <v>0.99999999999999967</v>
      </c>
      <c r="H24" s="1"/>
    </row>
    <row r="25" spans="1:8" x14ac:dyDescent="0.25">
      <c r="A25" s="3">
        <v>46160</v>
      </c>
      <c r="B25" s="1"/>
      <c r="C25" s="1"/>
      <c r="D25" s="1" t="s">
        <v>497</v>
      </c>
      <c r="E25" s="1"/>
      <c r="F25" s="1">
        <v>1</v>
      </c>
      <c r="G25" s="1">
        <f t="shared" si="1"/>
        <v>0</v>
      </c>
      <c r="H25" s="1"/>
    </row>
    <row r="26" spans="1:8" x14ac:dyDescent="0.25">
      <c r="A26" s="1"/>
      <c r="B26" s="1"/>
      <c r="C26" s="1"/>
      <c r="D26" s="1"/>
      <c r="E26" s="1"/>
      <c r="F26" s="1"/>
      <c r="G26" s="1">
        <f t="shared" si="1"/>
        <v>0</v>
      </c>
      <c r="H26" s="1"/>
    </row>
    <row r="27" spans="1:8" x14ac:dyDescent="0.25">
      <c r="A27" s="1"/>
      <c r="B27" s="1"/>
      <c r="C27" s="1"/>
      <c r="D27" s="1"/>
      <c r="E27" s="1"/>
      <c r="F27" s="1"/>
      <c r="G27" s="1">
        <f t="shared" si="1"/>
        <v>0</v>
      </c>
      <c r="H27" s="1"/>
    </row>
    <row r="28" spans="1:8" x14ac:dyDescent="0.25">
      <c r="A28" s="1"/>
      <c r="B28" s="1"/>
      <c r="C28" s="1"/>
      <c r="D28" s="1"/>
      <c r="E28" s="1"/>
      <c r="F28" s="1"/>
      <c r="G28" s="1">
        <f t="shared" si="1"/>
        <v>0</v>
      </c>
      <c r="H28" s="1"/>
    </row>
    <row r="29" spans="1:8" x14ac:dyDescent="0.25">
      <c r="A29" s="1"/>
      <c r="B29" s="1"/>
      <c r="C29" s="1"/>
      <c r="D29" s="1"/>
      <c r="E29" s="1"/>
      <c r="F29" s="1"/>
      <c r="G29" s="1">
        <f t="shared" si="1"/>
        <v>0</v>
      </c>
      <c r="H29" s="1"/>
    </row>
    <row r="30" spans="1:8" x14ac:dyDescent="0.25">
      <c r="A30" s="1"/>
      <c r="B30" s="1"/>
      <c r="C30" s="1"/>
      <c r="D30" s="1"/>
      <c r="E30" s="1"/>
      <c r="F30" s="1"/>
      <c r="G30" s="1">
        <f t="shared" si="1"/>
        <v>0</v>
      </c>
      <c r="H30" s="1"/>
    </row>
    <row r="31" spans="1:8" x14ac:dyDescent="0.25">
      <c r="A31" s="1"/>
      <c r="B31" s="1"/>
      <c r="C31" s="1"/>
      <c r="D31" s="1"/>
      <c r="E31" s="1"/>
      <c r="F31" s="1"/>
      <c r="G31" s="1">
        <f t="shared" si="1"/>
        <v>0</v>
      </c>
      <c r="H31" s="1"/>
    </row>
    <row r="32" spans="1:8" x14ac:dyDescent="0.25">
      <c r="A32" s="1"/>
      <c r="B32" s="1"/>
      <c r="C32" s="1"/>
      <c r="D32" s="1"/>
      <c r="E32" s="1"/>
      <c r="F32" s="1"/>
      <c r="G32" s="1">
        <f t="shared" si="1"/>
        <v>0</v>
      </c>
      <c r="H32" s="1"/>
    </row>
    <row r="33" spans="1:8" x14ac:dyDescent="0.25">
      <c r="A33" s="1"/>
      <c r="B33" s="1"/>
      <c r="C33" s="1"/>
      <c r="D33" s="1"/>
      <c r="E33" s="1"/>
      <c r="F33" s="1"/>
      <c r="G33" s="1">
        <f t="shared" si="1"/>
        <v>0</v>
      </c>
      <c r="H33" s="1"/>
    </row>
    <row r="34" spans="1:8" x14ac:dyDescent="0.25">
      <c r="A34" s="1"/>
      <c r="B34" s="1"/>
      <c r="C34" s="1"/>
      <c r="D34" s="1"/>
      <c r="E34" s="1"/>
      <c r="F34" s="1"/>
      <c r="G34" s="1">
        <f t="shared" si="1"/>
        <v>0</v>
      </c>
      <c r="H34" s="1"/>
    </row>
    <row r="35" spans="1:8" x14ac:dyDescent="0.25">
      <c r="A35" s="1"/>
      <c r="B35" s="1"/>
      <c r="C35" s="1"/>
      <c r="D35" s="1"/>
      <c r="E35" s="1"/>
      <c r="F35" s="1"/>
      <c r="G35" s="1">
        <f t="shared" si="1"/>
        <v>0</v>
      </c>
      <c r="H35" s="1"/>
    </row>
    <row r="36" spans="1:8" x14ac:dyDescent="0.25">
      <c r="A36" s="1"/>
      <c r="B36" s="1"/>
      <c r="C36" s="1"/>
      <c r="D36" s="1"/>
      <c r="E36" s="1"/>
      <c r="F36" s="1"/>
      <c r="G36" s="1">
        <f t="shared" si="1"/>
        <v>0</v>
      </c>
      <c r="H36" s="1"/>
    </row>
    <row r="37" spans="1:8" x14ac:dyDescent="0.25">
      <c r="A37" s="1"/>
      <c r="B37" s="1"/>
      <c r="C37" s="1"/>
      <c r="D37" s="1"/>
      <c r="E37" s="1"/>
      <c r="F37" s="1"/>
      <c r="G37" s="1">
        <f t="shared" si="1"/>
        <v>0</v>
      </c>
      <c r="H37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selection activeCell="N17" sqref="N17"/>
    </sheetView>
  </sheetViews>
  <sheetFormatPr defaultRowHeight="15" x14ac:dyDescent="0.25"/>
  <cols>
    <col min="1" max="1" width="8.85546875" customWidth="1"/>
    <col min="2" max="2" width="10.5703125" customWidth="1"/>
    <col min="3" max="3" width="10.42578125" customWidth="1"/>
    <col min="4" max="4" width="21" customWidth="1"/>
    <col min="5" max="5" width="6.5703125" customWidth="1"/>
    <col min="7" max="7" width="11.140625" customWidth="1"/>
    <col min="8" max="8" width="13.42578125" customWidth="1"/>
  </cols>
  <sheetData>
    <row r="1" spans="1:8" ht="21" x14ac:dyDescent="0.35">
      <c r="A1" s="7" t="s">
        <v>0</v>
      </c>
      <c r="B1" s="7"/>
      <c r="C1" s="7"/>
      <c r="D1" s="7"/>
      <c r="E1" s="7"/>
      <c r="F1" s="7"/>
      <c r="G1" s="7"/>
      <c r="H1" s="7"/>
    </row>
    <row r="2" spans="1:8" ht="21" x14ac:dyDescent="0.35">
      <c r="A2" s="7" t="s">
        <v>1</v>
      </c>
      <c r="B2" s="7"/>
      <c r="C2" s="7"/>
      <c r="D2" s="7"/>
      <c r="E2" s="148" t="s">
        <v>124</v>
      </c>
      <c r="F2" s="148"/>
      <c r="G2" s="148"/>
      <c r="H2" s="148"/>
    </row>
    <row r="3" spans="1:8" ht="21" x14ac:dyDescent="0.35">
      <c r="A3" s="7" t="s">
        <v>203</v>
      </c>
      <c r="B3" s="7"/>
      <c r="C3" s="7"/>
      <c r="D3" s="7"/>
      <c r="E3" s="7"/>
      <c r="F3" s="7"/>
      <c r="G3" s="7"/>
      <c r="H3" s="7"/>
    </row>
    <row r="4" spans="1:8" ht="42" x14ac:dyDescent="0.35">
      <c r="A4" s="8" t="s">
        <v>4</v>
      </c>
      <c r="B4" s="8" t="s">
        <v>6</v>
      </c>
      <c r="C4" s="8" t="s">
        <v>5</v>
      </c>
      <c r="D4" s="8" t="s">
        <v>168</v>
      </c>
      <c r="E4" s="15" t="s">
        <v>204</v>
      </c>
      <c r="F4" s="8" t="s">
        <v>9</v>
      </c>
      <c r="G4" s="8" t="s">
        <v>10</v>
      </c>
      <c r="H4" s="8" t="s">
        <v>11</v>
      </c>
    </row>
    <row r="5" spans="1:8" ht="21" x14ac:dyDescent="0.35">
      <c r="A5" s="9"/>
      <c r="B5" s="10"/>
      <c r="C5" s="10"/>
      <c r="D5" s="10"/>
      <c r="E5" s="10"/>
      <c r="F5" s="10"/>
      <c r="G5" s="10"/>
      <c r="H5" s="10"/>
    </row>
    <row r="6" spans="1:8" ht="21" x14ac:dyDescent="0.35">
      <c r="A6" s="11"/>
      <c r="B6" s="12"/>
      <c r="C6" s="12"/>
      <c r="D6" s="12"/>
      <c r="E6" s="12"/>
      <c r="F6" s="12"/>
      <c r="G6" s="12"/>
      <c r="H6" s="8"/>
    </row>
    <row r="7" spans="1:8" ht="21" x14ac:dyDescent="0.35">
      <c r="A7" s="11"/>
      <c r="B7" s="12"/>
      <c r="C7" s="12"/>
      <c r="D7" s="12"/>
      <c r="E7" s="12"/>
      <c r="F7" s="12"/>
      <c r="G7" s="12"/>
      <c r="H7" s="8"/>
    </row>
    <row r="8" spans="1:8" ht="21" x14ac:dyDescent="0.35">
      <c r="A8" s="11"/>
      <c r="B8" s="12"/>
      <c r="C8" s="12"/>
      <c r="D8" s="12"/>
      <c r="E8" s="12"/>
      <c r="F8" s="12"/>
      <c r="G8" s="12"/>
      <c r="H8" s="8"/>
    </row>
    <row r="9" spans="1:8" ht="21" x14ac:dyDescent="0.35">
      <c r="A9" s="11"/>
      <c r="B9" s="12"/>
      <c r="C9" s="12"/>
      <c r="D9" s="12"/>
      <c r="E9" s="12"/>
      <c r="F9" s="12"/>
      <c r="G9" s="12"/>
      <c r="H9" s="8"/>
    </row>
    <row r="10" spans="1:8" ht="21" x14ac:dyDescent="0.35">
      <c r="A10" s="11"/>
      <c r="B10" s="12"/>
      <c r="C10" s="12"/>
      <c r="D10" s="12"/>
      <c r="E10" s="12"/>
      <c r="F10" s="12"/>
      <c r="G10" s="12"/>
      <c r="H10" s="8"/>
    </row>
    <row r="11" spans="1:8" ht="21" x14ac:dyDescent="0.35">
      <c r="A11" s="11"/>
      <c r="B11" s="12"/>
      <c r="C11" s="12"/>
      <c r="D11" s="12"/>
      <c r="E11" s="12"/>
      <c r="F11" s="12"/>
      <c r="G11" s="12"/>
      <c r="H11" s="8"/>
    </row>
    <row r="12" spans="1:8" ht="21" x14ac:dyDescent="0.35">
      <c r="A12" s="11"/>
      <c r="B12" s="12"/>
      <c r="C12" s="12"/>
      <c r="D12" s="12"/>
      <c r="E12" s="12"/>
      <c r="F12" s="12"/>
      <c r="G12" s="12"/>
      <c r="H12" s="8"/>
    </row>
    <row r="13" spans="1:8" ht="21" x14ac:dyDescent="0.35">
      <c r="A13" s="11"/>
      <c r="B13" s="12"/>
      <c r="C13" s="12"/>
      <c r="D13" s="12"/>
      <c r="E13" s="12"/>
      <c r="F13" s="12"/>
      <c r="G13" s="12"/>
      <c r="H13" s="8"/>
    </row>
    <row r="14" spans="1:8" ht="21" x14ac:dyDescent="0.35">
      <c r="A14" s="11"/>
      <c r="B14" s="12"/>
      <c r="C14" s="12"/>
      <c r="D14" s="12"/>
      <c r="E14" s="12"/>
      <c r="F14" s="12"/>
      <c r="G14" s="12"/>
      <c r="H14" s="8"/>
    </row>
    <row r="15" spans="1:8" ht="21" x14ac:dyDescent="0.35">
      <c r="A15" s="9"/>
      <c r="B15" s="10"/>
      <c r="C15" s="10"/>
      <c r="D15" s="10"/>
      <c r="E15" s="10"/>
      <c r="F15" s="10"/>
      <c r="G15" s="10"/>
      <c r="H15" s="10"/>
    </row>
    <row r="16" spans="1:8" ht="21" x14ac:dyDescent="0.35">
      <c r="A16" s="11"/>
      <c r="B16" s="12"/>
      <c r="C16" s="12"/>
      <c r="D16" s="12"/>
      <c r="E16" s="12"/>
      <c r="F16" s="12"/>
      <c r="G16" s="12"/>
      <c r="H16" s="8"/>
    </row>
    <row r="17" spans="1:8" ht="21" x14ac:dyDescent="0.35">
      <c r="A17" s="11"/>
      <c r="B17" s="12"/>
      <c r="C17" s="12"/>
      <c r="D17" s="12"/>
      <c r="E17" s="12"/>
      <c r="F17" s="12"/>
      <c r="G17" s="12"/>
      <c r="H17" s="8"/>
    </row>
    <row r="18" spans="1:8" ht="21" x14ac:dyDescent="0.35">
      <c r="A18" s="11"/>
      <c r="B18" s="12"/>
      <c r="C18" s="12"/>
      <c r="D18" s="12"/>
      <c r="E18" s="12"/>
      <c r="F18" s="12"/>
      <c r="G18" s="12"/>
      <c r="H18" s="8"/>
    </row>
    <row r="19" spans="1:8" ht="21" x14ac:dyDescent="0.35">
      <c r="A19" s="11"/>
      <c r="B19" s="12"/>
      <c r="C19" s="12"/>
      <c r="D19" s="12"/>
      <c r="E19" s="12"/>
      <c r="F19" s="12"/>
      <c r="G19" s="12"/>
      <c r="H19" s="8"/>
    </row>
    <row r="20" spans="1:8" ht="21" x14ac:dyDescent="0.35">
      <c r="A20" s="11"/>
      <c r="B20" s="12"/>
      <c r="C20" s="12"/>
      <c r="D20" s="12"/>
      <c r="E20" s="12"/>
      <c r="F20" s="12"/>
      <c r="G20" s="12"/>
      <c r="H20" s="8"/>
    </row>
    <row r="21" spans="1:8" ht="21" x14ac:dyDescent="0.35">
      <c r="A21" s="11"/>
      <c r="B21" s="12"/>
      <c r="C21" s="12"/>
      <c r="D21" s="12"/>
      <c r="E21" s="12"/>
      <c r="F21" s="12"/>
      <c r="G21" s="12"/>
      <c r="H21" s="8"/>
    </row>
    <row r="22" spans="1:8" ht="21" x14ac:dyDescent="0.35">
      <c r="A22" s="11"/>
      <c r="B22" s="12"/>
      <c r="C22" s="12"/>
      <c r="D22" s="12"/>
      <c r="E22" s="12"/>
      <c r="F22" s="12"/>
      <c r="G22" s="12"/>
      <c r="H22" s="8"/>
    </row>
    <row r="23" spans="1:8" ht="21" x14ac:dyDescent="0.35">
      <c r="A23" s="11"/>
      <c r="B23" s="12"/>
      <c r="C23" s="12"/>
      <c r="D23" s="12"/>
      <c r="E23" s="12"/>
      <c r="F23" s="12"/>
      <c r="G23" s="12"/>
      <c r="H23" s="8"/>
    </row>
    <row r="24" spans="1:8" ht="21" x14ac:dyDescent="0.35">
      <c r="A24" s="11"/>
      <c r="B24" s="12"/>
      <c r="C24" s="12"/>
      <c r="D24" s="12"/>
      <c r="E24" s="12"/>
      <c r="F24" s="12"/>
      <c r="G24" s="12"/>
      <c r="H24" s="8"/>
    </row>
    <row r="25" spans="1:8" ht="21" x14ac:dyDescent="0.35">
      <c r="A25" s="11"/>
      <c r="B25" s="12"/>
      <c r="C25" s="12"/>
      <c r="D25" s="12"/>
      <c r="E25" s="12"/>
      <c r="F25" s="12"/>
      <c r="G25" s="12"/>
      <c r="H25" s="8"/>
    </row>
    <row r="26" spans="1:8" ht="21" x14ac:dyDescent="0.35">
      <c r="A26" s="11"/>
      <c r="B26" s="12"/>
      <c r="C26" s="12"/>
      <c r="D26" s="12"/>
      <c r="E26" s="12"/>
      <c r="F26" s="12"/>
      <c r="G26" s="12"/>
      <c r="H26" s="8"/>
    </row>
    <row r="27" spans="1:8" ht="21" x14ac:dyDescent="0.35">
      <c r="A27" s="11"/>
      <c r="B27" s="12"/>
      <c r="C27" s="12"/>
      <c r="D27" s="12"/>
      <c r="E27" s="12"/>
      <c r="F27" s="12"/>
      <c r="G27" s="12"/>
      <c r="H27" s="8"/>
    </row>
    <row r="28" spans="1:8" ht="21" x14ac:dyDescent="0.35">
      <c r="A28" s="11"/>
      <c r="B28" s="12"/>
      <c r="C28" s="12"/>
      <c r="D28" s="12"/>
      <c r="E28" s="12"/>
      <c r="F28" s="12"/>
      <c r="G28" s="12"/>
      <c r="H28" s="8"/>
    </row>
    <row r="29" spans="1:8" ht="21" x14ac:dyDescent="0.35">
      <c r="A29" s="11"/>
      <c r="B29" s="12"/>
      <c r="C29" s="12"/>
      <c r="D29" s="12"/>
      <c r="E29" s="12"/>
      <c r="F29" s="12"/>
      <c r="G29" s="12"/>
      <c r="H29" s="8"/>
    </row>
    <row r="30" spans="1:8" ht="21" x14ac:dyDescent="0.35">
      <c r="A30" s="11"/>
      <c r="B30" s="12"/>
      <c r="C30" s="12"/>
      <c r="D30" s="12"/>
      <c r="E30" s="12"/>
      <c r="F30" s="12"/>
      <c r="G30" s="12"/>
      <c r="H30" s="8"/>
    </row>
    <row r="31" spans="1:8" ht="21" x14ac:dyDescent="0.35">
      <c r="A31" s="11"/>
      <c r="B31" s="12"/>
      <c r="C31" s="12"/>
      <c r="D31" s="12"/>
      <c r="E31" s="12"/>
      <c r="F31" s="12"/>
      <c r="G31" s="12"/>
      <c r="H31" s="8"/>
    </row>
    <row r="32" spans="1:8" ht="21" x14ac:dyDescent="0.35">
      <c r="A32" s="11"/>
      <c r="B32" s="12"/>
      <c r="C32" s="12"/>
      <c r="D32" s="12"/>
      <c r="E32" s="12"/>
      <c r="F32" s="12"/>
      <c r="G32" s="12"/>
      <c r="H32" s="8"/>
    </row>
    <row r="33" spans="1:8" ht="21" x14ac:dyDescent="0.35">
      <c r="A33" s="11"/>
      <c r="B33" s="12"/>
      <c r="C33" s="12"/>
      <c r="D33" s="12"/>
      <c r="E33" s="12"/>
      <c r="F33" s="12"/>
      <c r="G33" s="12"/>
      <c r="H33" s="8"/>
    </row>
    <row r="34" spans="1:8" ht="21" x14ac:dyDescent="0.35">
      <c r="A34" s="11"/>
      <c r="B34" s="12"/>
      <c r="C34" s="12"/>
      <c r="D34" s="12"/>
      <c r="E34" s="12"/>
      <c r="F34" s="12"/>
      <c r="G34" s="12"/>
      <c r="H34" s="8"/>
    </row>
    <row r="35" spans="1:8" x14ac:dyDescent="0.25">
      <c r="A35" s="13"/>
      <c r="B35" s="13"/>
      <c r="C35" s="13"/>
      <c r="D35" s="13"/>
      <c r="E35" s="13"/>
      <c r="F35" s="13"/>
      <c r="G35" s="13"/>
      <c r="H35" s="13"/>
    </row>
    <row r="36" spans="1:8" x14ac:dyDescent="0.25">
      <c r="A36" s="13"/>
      <c r="B36" s="13"/>
      <c r="C36" s="13"/>
      <c r="D36" s="13"/>
      <c r="E36" s="13"/>
      <c r="F36" s="13"/>
      <c r="G36" s="13"/>
      <c r="H36" s="13"/>
    </row>
  </sheetData>
  <mergeCells count="1">
    <mergeCell ref="E2:H2"/>
  </mergeCells>
  <pageMargins left="0.7" right="0.3" top="0.75" bottom="0.75" header="0.3" footer="0.3"/>
  <pageSetup paperSize="9" orientation="portrait" horizontalDpi="20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J27"/>
  <sheetViews>
    <sheetView workbookViewId="0">
      <selection activeCell="L28" sqref="L28"/>
    </sheetView>
  </sheetViews>
  <sheetFormatPr defaultRowHeight="15" x14ac:dyDescent="0.25"/>
  <cols>
    <col min="3" max="3" width="11.5703125" customWidth="1"/>
  </cols>
  <sheetData>
    <row r="6" spans="2:10" ht="15" customHeight="1" x14ac:dyDescent="0.25">
      <c r="B6" s="149" t="s">
        <v>205</v>
      </c>
      <c r="C6" s="149"/>
      <c r="D6" s="149"/>
      <c r="E6" s="149"/>
      <c r="F6" s="149"/>
      <c r="G6" s="149"/>
      <c r="H6" s="149"/>
      <c r="I6" s="149"/>
      <c r="J6" s="149"/>
    </row>
    <row r="7" spans="2:10" ht="15" customHeight="1" x14ac:dyDescent="0.25">
      <c r="B7" s="149"/>
      <c r="C7" s="149"/>
      <c r="D7" s="149"/>
      <c r="E7" s="149"/>
      <c r="F7" s="149"/>
      <c r="G7" s="149"/>
      <c r="H7" s="149"/>
      <c r="I7" s="149"/>
      <c r="J7" s="149"/>
    </row>
    <row r="8" spans="2:10" ht="15" customHeight="1" x14ac:dyDescent="0.25">
      <c r="B8" s="149"/>
      <c r="C8" s="149"/>
      <c r="D8" s="149"/>
      <c r="E8" s="149"/>
      <c r="F8" s="149"/>
      <c r="G8" s="149"/>
      <c r="H8" s="149"/>
      <c r="I8" s="149"/>
      <c r="J8" s="149"/>
    </row>
    <row r="9" spans="2:10" ht="15" customHeight="1" x14ac:dyDescent="0.25">
      <c r="B9" s="149"/>
      <c r="C9" s="149"/>
      <c r="D9" s="149"/>
      <c r="E9" s="149"/>
      <c r="F9" s="149"/>
      <c r="G9" s="149"/>
      <c r="H9" s="149"/>
      <c r="I9" s="149"/>
      <c r="J9" s="149"/>
    </row>
    <row r="11" spans="2:10" ht="46.5" x14ac:dyDescent="0.7">
      <c r="J11" s="14"/>
    </row>
    <row r="15" spans="2:10" x14ac:dyDescent="0.25">
      <c r="C15">
        <v>1906.78</v>
      </c>
      <c r="E15">
        <v>5508.47</v>
      </c>
    </row>
    <row r="16" spans="2:10" x14ac:dyDescent="0.25">
      <c r="C16">
        <v>2118.64</v>
      </c>
      <c r="E16">
        <v>12711.86</v>
      </c>
    </row>
    <row r="17" spans="3:5" x14ac:dyDescent="0.25">
      <c r="C17">
        <v>3050.85</v>
      </c>
      <c r="E17">
        <v>12711.86</v>
      </c>
    </row>
    <row r="18" spans="3:5" x14ac:dyDescent="0.25">
      <c r="C18">
        <v>1906.78</v>
      </c>
      <c r="E18">
        <v>1271.19</v>
      </c>
    </row>
    <row r="19" spans="3:5" x14ac:dyDescent="0.25">
      <c r="C19">
        <v>5932.2</v>
      </c>
      <c r="E19">
        <v>4237.29</v>
      </c>
    </row>
    <row r="20" spans="3:5" x14ac:dyDescent="0.25">
      <c r="C20">
        <f>SUM(C15:C19)</f>
        <v>14915.25</v>
      </c>
      <c r="E20">
        <f>SUM(E15:E19)</f>
        <v>36440.67</v>
      </c>
    </row>
    <row r="21" spans="3:5" x14ac:dyDescent="0.25">
      <c r="C21">
        <v>8050.85</v>
      </c>
      <c r="E21">
        <f>E20*0.18</f>
        <v>6559.3205999999991</v>
      </c>
    </row>
    <row r="22" spans="3:5" x14ac:dyDescent="0.25">
      <c r="C22">
        <v>10593.22</v>
      </c>
      <c r="E22">
        <f>SUM(E20:E21)</f>
        <v>42999.990599999997</v>
      </c>
    </row>
    <row r="23" spans="3:5" x14ac:dyDescent="0.25">
      <c r="C23">
        <v>4067.8</v>
      </c>
    </row>
    <row r="24" spans="3:5" x14ac:dyDescent="0.25">
      <c r="C24">
        <v>5720.34</v>
      </c>
    </row>
    <row r="25" spans="3:5" x14ac:dyDescent="0.25">
      <c r="C25" s="5">
        <f>SUM(C20:C24)</f>
        <v>43347.460000000006</v>
      </c>
    </row>
    <row r="26" spans="3:5" x14ac:dyDescent="0.25">
      <c r="C26">
        <f>C25*0.18</f>
        <v>7802.5428000000011</v>
      </c>
    </row>
    <row r="27" spans="3:5" x14ac:dyDescent="0.25">
      <c r="C27">
        <f>SUM(C25:C26)</f>
        <v>51150.002800000009</v>
      </c>
    </row>
  </sheetData>
  <mergeCells count="1">
    <mergeCell ref="B6:J9"/>
  </mergeCells>
  <pageMargins left="0.7" right="0.7" top="0.75" bottom="0.75" header="0.3" footer="0.3"/>
  <pageSetup paperSize="9" orientation="landscape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zoomScaleNormal="100" workbookViewId="0">
      <selection activeCell="L26" sqref="L26"/>
    </sheetView>
  </sheetViews>
  <sheetFormatPr defaultRowHeight="15" x14ac:dyDescent="0.25"/>
  <cols>
    <col min="2" max="2" width="13" customWidth="1"/>
    <col min="4" max="4" width="7.42578125" customWidth="1"/>
    <col min="6" max="6" width="12.5703125" customWidth="1"/>
    <col min="7" max="7" width="26.5703125" customWidth="1"/>
  </cols>
  <sheetData>
    <row r="1" spans="1:7" ht="15" customHeight="1" x14ac:dyDescent="0.3">
      <c r="A1" s="16"/>
      <c r="B1" s="17" t="s">
        <v>286</v>
      </c>
      <c r="C1" s="18"/>
      <c r="D1" s="19"/>
      <c r="E1" s="16"/>
      <c r="F1" s="17" t="s">
        <v>286</v>
      </c>
      <c r="G1" s="18"/>
    </row>
    <row r="2" spans="1:7" ht="15" customHeight="1" x14ac:dyDescent="0.3">
      <c r="A2" s="20" t="s">
        <v>281</v>
      </c>
      <c r="B2" s="21"/>
      <c r="C2" s="21"/>
      <c r="D2" s="22"/>
      <c r="E2" s="20" t="s">
        <v>281</v>
      </c>
      <c r="F2" s="21"/>
      <c r="G2" s="21"/>
    </row>
    <row r="3" spans="1:7" ht="15" customHeight="1" thickBot="1" x14ac:dyDescent="0.35">
      <c r="A3" s="159" t="s">
        <v>282</v>
      </c>
      <c r="B3" s="160"/>
      <c r="C3" s="161"/>
      <c r="D3" s="162"/>
      <c r="E3" s="159" t="s">
        <v>282</v>
      </c>
      <c r="F3" s="160"/>
      <c r="G3" s="26"/>
    </row>
    <row r="4" spans="1:7" ht="15" customHeight="1" thickBot="1" x14ac:dyDescent="0.35">
      <c r="A4" s="150"/>
      <c r="B4" s="151"/>
      <c r="C4" s="151"/>
      <c r="D4" s="152"/>
      <c r="E4" s="150"/>
      <c r="F4" s="151"/>
      <c r="G4" s="151"/>
    </row>
    <row r="5" spans="1:7" ht="15" customHeight="1" thickBot="1" x14ac:dyDescent="0.35">
      <c r="A5" s="150"/>
      <c r="B5" s="151"/>
      <c r="C5" s="151"/>
      <c r="D5" s="152"/>
      <c r="E5" s="150"/>
      <c r="F5" s="151"/>
      <c r="G5" s="151"/>
    </row>
    <row r="6" spans="1:7" ht="15" customHeight="1" thickBot="1" x14ac:dyDescent="0.35">
      <c r="A6" s="150"/>
      <c r="B6" s="151"/>
      <c r="C6" s="151"/>
      <c r="D6" s="152"/>
      <c r="E6" s="150"/>
      <c r="F6" s="151"/>
      <c r="G6" s="151"/>
    </row>
    <row r="7" spans="1:7" ht="15" customHeight="1" thickBot="1" x14ac:dyDescent="0.35">
      <c r="A7" s="150"/>
      <c r="B7" s="151"/>
      <c r="C7" s="151"/>
      <c r="D7" s="152"/>
      <c r="E7" s="150"/>
      <c r="F7" s="151"/>
      <c r="G7" s="151"/>
    </row>
    <row r="8" spans="1:7" ht="15" customHeight="1" thickBot="1" x14ac:dyDescent="0.35">
      <c r="A8" s="150"/>
      <c r="B8" s="151"/>
      <c r="C8" s="151"/>
      <c r="D8" s="152"/>
      <c r="E8" s="150"/>
      <c r="F8" s="151"/>
      <c r="G8" s="151"/>
    </row>
    <row r="9" spans="1:7" ht="15" customHeight="1" thickBot="1" x14ac:dyDescent="0.35">
      <c r="A9" s="150"/>
      <c r="B9" s="151"/>
      <c r="C9" s="151"/>
      <c r="D9" s="152"/>
      <c r="E9" s="150"/>
      <c r="F9" s="151"/>
      <c r="G9" s="151"/>
    </row>
    <row r="10" spans="1:7" ht="15" customHeight="1" thickBot="1" x14ac:dyDescent="0.35">
      <c r="A10" s="156"/>
      <c r="B10" s="157"/>
      <c r="C10" s="157"/>
      <c r="D10" s="158"/>
      <c r="E10" s="156"/>
      <c r="F10" s="157"/>
      <c r="G10" s="157"/>
    </row>
    <row r="11" spans="1:7" ht="15" customHeight="1" thickBot="1" x14ac:dyDescent="0.35">
      <c r="A11" s="150"/>
      <c r="B11" s="151"/>
      <c r="C11" s="151"/>
      <c r="D11" s="152"/>
      <c r="E11" s="150"/>
      <c r="F11" s="151"/>
      <c r="G11" s="151"/>
    </row>
    <row r="12" spans="1:7" ht="15" customHeight="1" thickBot="1" x14ac:dyDescent="0.35">
      <c r="A12" s="153"/>
      <c r="B12" s="154"/>
      <c r="C12" s="154"/>
      <c r="D12" s="155"/>
      <c r="E12" s="153"/>
      <c r="F12" s="154"/>
      <c r="G12" s="154"/>
    </row>
    <row r="13" spans="1:7" ht="15" customHeight="1" x14ac:dyDescent="0.3">
      <c r="A13" s="20" t="s">
        <v>283</v>
      </c>
      <c r="B13" s="21"/>
      <c r="C13" s="21"/>
      <c r="D13" s="22"/>
      <c r="E13" s="20" t="s">
        <v>283</v>
      </c>
      <c r="F13" s="21"/>
      <c r="G13" s="21"/>
    </row>
    <row r="14" spans="1:7" ht="15" customHeight="1" x14ac:dyDescent="0.3">
      <c r="A14" s="20" t="s">
        <v>284</v>
      </c>
      <c r="B14" s="21"/>
      <c r="C14" s="21"/>
      <c r="D14" s="22"/>
      <c r="E14" s="20" t="s">
        <v>284</v>
      </c>
      <c r="F14" s="21"/>
      <c r="G14" s="21"/>
    </row>
    <row r="15" spans="1:7" ht="15" customHeight="1" thickBot="1" x14ac:dyDescent="0.35">
      <c r="A15" s="23" t="s">
        <v>285</v>
      </c>
      <c r="B15" s="24"/>
      <c r="C15" s="24"/>
      <c r="D15" s="25"/>
      <c r="E15" s="23" t="s">
        <v>285</v>
      </c>
      <c r="F15" s="24"/>
      <c r="G15" s="24"/>
    </row>
    <row r="16" spans="1:7" ht="15" customHeight="1" thickBot="1" x14ac:dyDescent="0.35">
      <c r="A16" s="21"/>
      <c r="B16" s="21"/>
      <c r="C16" s="21"/>
      <c r="D16" s="21"/>
      <c r="E16" s="21"/>
      <c r="F16" s="21"/>
      <c r="G16" s="21"/>
    </row>
    <row r="17" spans="1:7" ht="15" customHeight="1" x14ac:dyDescent="0.3">
      <c r="A17" s="16"/>
      <c r="B17" s="17" t="s">
        <v>286</v>
      </c>
      <c r="C17" s="18"/>
      <c r="D17" s="19"/>
      <c r="E17" s="16"/>
      <c r="F17" s="17" t="s">
        <v>286</v>
      </c>
      <c r="G17" s="18"/>
    </row>
    <row r="18" spans="1:7" ht="15" customHeight="1" x14ac:dyDescent="0.3">
      <c r="A18" s="20" t="s">
        <v>281</v>
      </c>
      <c r="B18" s="21"/>
      <c r="C18" s="21"/>
      <c r="D18" s="22"/>
      <c r="E18" s="20" t="s">
        <v>281</v>
      </c>
      <c r="F18" s="21"/>
      <c r="G18" s="21"/>
    </row>
    <row r="19" spans="1:7" ht="15" customHeight="1" thickBot="1" x14ac:dyDescent="0.35">
      <c r="A19" s="159" t="s">
        <v>282</v>
      </c>
      <c r="B19" s="160"/>
      <c r="C19" s="161"/>
      <c r="D19" s="162"/>
      <c r="E19" s="159" t="s">
        <v>282</v>
      </c>
      <c r="F19" s="160"/>
      <c r="G19" s="26"/>
    </row>
    <row r="20" spans="1:7" ht="15" customHeight="1" thickBot="1" x14ac:dyDescent="0.35">
      <c r="A20" s="150"/>
      <c r="B20" s="151"/>
      <c r="C20" s="151"/>
      <c r="D20" s="152"/>
      <c r="E20" s="150"/>
      <c r="F20" s="151"/>
      <c r="G20" s="151"/>
    </row>
    <row r="21" spans="1:7" ht="15" customHeight="1" thickBot="1" x14ac:dyDescent="0.35">
      <c r="A21" s="150"/>
      <c r="B21" s="151"/>
      <c r="C21" s="151"/>
      <c r="D21" s="152"/>
      <c r="E21" s="150"/>
      <c r="F21" s="151"/>
      <c r="G21" s="151"/>
    </row>
    <row r="22" spans="1:7" ht="15" customHeight="1" thickBot="1" x14ac:dyDescent="0.35">
      <c r="A22" s="150"/>
      <c r="B22" s="151"/>
      <c r="C22" s="151"/>
      <c r="D22" s="152"/>
      <c r="E22" s="150"/>
      <c r="F22" s="151"/>
      <c r="G22" s="151"/>
    </row>
    <row r="23" spans="1:7" ht="15" customHeight="1" thickBot="1" x14ac:dyDescent="0.35">
      <c r="A23" s="150"/>
      <c r="B23" s="151"/>
      <c r="C23" s="151"/>
      <c r="D23" s="152"/>
      <c r="E23" s="150"/>
      <c r="F23" s="151"/>
      <c r="G23" s="151"/>
    </row>
    <row r="24" spans="1:7" ht="15" customHeight="1" thickBot="1" x14ac:dyDescent="0.35">
      <c r="A24" s="150"/>
      <c r="B24" s="151"/>
      <c r="C24" s="151"/>
      <c r="D24" s="152"/>
      <c r="E24" s="150"/>
      <c r="F24" s="151"/>
      <c r="G24" s="151"/>
    </row>
    <row r="25" spans="1:7" ht="15" customHeight="1" thickBot="1" x14ac:dyDescent="0.35">
      <c r="A25" s="150"/>
      <c r="B25" s="151"/>
      <c r="C25" s="151"/>
      <c r="D25" s="152"/>
      <c r="E25" s="150"/>
      <c r="F25" s="151"/>
      <c r="G25" s="151"/>
    </row>
    <row r="26" spans="1:7" ht="15" customHeight="1" thickBot="1" x14ac:dyDescent="0.35">
      <c r="A26" s="156"/>
      <c r="B26" s="157"/>
      <c r="C26" s="157"/>
      <c r="D26" s="158"/>
      <c r="E26" s="156"/>
      <c r="F26" s="157"/>
      <c r="G26" s="157"/>
    </row>
    <row r="27" spans="1:7" ht="15" customHeight="1" thickBot="1" x14ac:dyDescent="0.35">
      <c r="A27" s="150"/>
      <c r="B27" s="151"/>
      <c r="C27" s="151"/>
      <c r="D27" s="152"/>
      <c r="E27" s="150"/>
      <c r="F27" s="151"/>
      <c r="G27" s="151"/>
    </row>
    <row r="28" spans="1:7" ht="15" customHeight="1" thickBot="1" x14ac:dyDescent="0.35">
      <c r="A28" s="153"/>
      <c r="B28" s="154"/>
      <c r="C28" s="154"/>
      <c r="D28" s="155"/>
      <c r="E28" s="153"/>
      <c r="F28" s="154"/>
      <c r="G28" s="154"/>
    </row>
    <row r="29" spans="1:7" ht="15" customHeight="1" x14ac:dyDescent="0.3">
      <c r="A29" s="20" t="s">
        <v>283</v>
      </c>
      <c r="B29" s="21"/>
      <c r="C29" s="21"/>
      <c r="D29" s="22"/>
      <c r="E29" s="20" t="s">
        <v>283</v>
      </c>
      <c r="F29" s="21"/>
      <c r="G29" s="21"/>
    </row>
    <row r="30" spans="1:7" ht="15" customHeight="1" x14ac:dyDescent="0.3">
      <c r="A30" s="20" t="s">
        <v>284</v>
      </c>
      <c r="B30" s="21"/>
      <c r="C30" s="21"/>
      <c r="D30" s="22"/>
      <c r="E30" s="20" t="s">
        <v>284</v>
      </c>
      <c r="F30" s="21"/>
      <c r="G30" s="21"/>
    </row>
    <row r="31" spans="1:7" ht="15" customHeight="1" thickBot="1" x14ac:dyDescent="0.35">
      <c r="A31" s="23" t="s">
        <v>285</v>
      </c>
      <c r="B31" s="24"/>
      <c r="C31" s="24"/>
      <c r="D31" s="25"/>
      <c r="E31" s="23" t="s">
        <v>285</v>
      </c>
      <c r="F31" s="24"/>
      <c r="G31" s="24"/>
    </row>
    <row r="32" spans="1:7" ht="15.75" thickBot="1" x14ac:dyDescent="0.3"/>
    <row r="33" spans="1:7" ht="16.5" customHeight="1" x14ac:dyDescent="0.3">
      <c r="A33" s="16"/>
      <c r="B33" s="17" t="s">
        <v>286</v>
      </c>
      <c r="C33" s="18"/>
      <c r="D33" s="19"/>
      <c r="E33" s="16"/>
      <c r="F33" s="17" t="s">
        <v>286</v>
      </c>
      <c r="G33" s="18"/>
    </row>
    <row r="34" spans="1:7" ht="16.5" customHeight="1" x14ac:dyDescent="0.3">
      <c r="A34" s="20" t="s">
        <v>281</v>
      </c>
      <c r="B34" s="21"/>
      <c r="C34" s="21"/>
      <c r="D34" s="22"/>
      <c r="E34" s="20" t="s">
        <v>281</v>
      </c>
      <c r="F34" s="21"/>
      <c r="G34" s="21"/>
    </row>
    <row r="35" spans="1:7" ht="16.5" customHeight="1" thickBot="1" x14ac:dyDescent="0.35">
      <c r="A35" s="159" t="s">
        <v>282</v>
      </c>
      <c r="B35" s="160"/>
      <c r="C35" s="161"/>
      <c r="D35" s="162"/>
      <c r="E35" s="159" t="s">
        <v>282</v>
      </c>
      <c r="F35" s="160"/>
      <c r="G35" s="26"/>
    </row>
    <row r="36" spans="1:7" ht="16.5" customHeight="1" thickBot="1" x14ac:dyDescent="0.35">
      <c r="A36" s="150"/>
      <c r="B36" s="151"/>
      <c r="C36" s="151"/>
      <c r="D36" s="152"/>
      <c r="E36" s="150"/>
      <c r="F36" s="151"/>
      <c r="G36" s="151"/>
    </row>
    <row r="37" spans="1:7" ht="16.5" customHeight="1" thickBot="1" x14ac:dyDescent="0.35">
      <c r="A37" s="150"/>
      <c r="B37" s="151"/>
      <c r="C37" s="151"/>
      <c r="D37" s="152"/>
      <c r="E37" s="150"/>
      <c r="F37" s="151"/>
      <c r="G37" s="151"/>
    </row>
    <row r="38" spans="1:7" ht="16.5" customHeight="1" thickBot="1" x14ac:dyDescent="0.35">
      <c r="A38" s="150"/>
      <c r="B38" s="151"/>
      <c r="C38" s="151"/>
      <c r="D38" s="152"/>
      <c r="E38" s="150"/>
      <c r="F38" s="151"/>
      <c r="G38" s="151"/>
    </row>
    <row r="39" spans="1:7" ht="16.5" customHeight="1" thickBot="1" x14ac:dyDescent="0.35">
      <c r="A39" s="150"/>
      <c r="B39" s="151"/>
      <c r="C39" s="151"/>
      <c r="D39" s="152"/>
      <c r="E39" s="150"/>
      <c r="F39" s="151"/>
      <c r="G39" s="151"/>
    </row>
    <row r="40" spans="1:7" ht="16.5" customHeight="1" thickBot="1" x14ac:dyDescent="0.35">
      <c r="A40" s="150"/>
      <c r="B40" s="151"/>
      <c r="C40" s="151"/>
      <c r="D40" s="152"/>
      <c r="E40" s="150"/>
      <c r="F40" s="151"/>
      <c r="G40" s="151"/>
    </row>
    <row r="41" spans="1:7" ht="16.5" customHeight="1" thickBot="1" x14ac:dyDescent="0.35">
      <c r="A41" s="150"/>
      <c r="B41" s="151"/>
      <c r="C41" s="151"/>
      <c r="D41" s="152"/>
      <c r="E41" s="150"/>
      <c r="F41" s="151"/>
      <c r="G41" s="151"/>
    </row>
    <row r="42" spans="1:7" ht="16.5" customHeight="1" thickBot="1" x14ac:dyDescent="0.35">
      <c r="A42" s="156"/>
      <c r="B42" s="157"/>
      <c r="C42" s="157"/>
      <c r="D42" s="158"/>
      <c r="E42" s="156"/>
      <c r="F42" s="157"/>
      <c r="G42" s="157"/>
    </row>
    <row r="43" spans="1:7" ht="16.5" customHeight="1" thickBot="1" x14ac:dyDescent="0.35">
      <c r="A43" s="150"/>
      <c r="B43" s="151"/>
      <c r="C43" s="151"/>
      <c r="D43" s="152"/>
      <c r="E43" s="150"/>
      <c r="F43" s="151"/>
      <c r="G43" s="151"/>
    </row>
    <row r="44" spans="1:7" ht="16.5" customHeight="1" thickBot="1" x14ac:dyDescent="0.35">
      <c r="A44" s="153"/>
      <c r="B44" s="154"/>
      <c r="C44" s="154"/>
      <c r="D44" s="155"/>
      <c r="E44" s="153"/>
      <c r="F44" s="154"/>
      <c r="G44" s="154"/>
    </row>
    <row r="45" spans="1:7" ht="16.5" customHeight="1" x14ac:dyDescent="0.3">
      <c r="A45" s="20" t="s">
        <v>283</v>
      </c>
      <c r="B45" s="21"/>
      <c r="C45" s="21"/>
      <c r="D45" s="22"/>
      <c r="E45" s="20" t="s">
        <v>283</v>
      </c>
      <c r="F45" s="21"/>
      <c r="G45" s="21"/>
    </row>
    <row r="46" spans="1:7" ht="16.5" customHeight="1" x14ac:dyDescent="0.3">
      <c r="A46" s="20" t="s">
        <v>284</v>
      </c>
      <c r="B46" s="21"/>
      <c r="C46" s="21"/>
      <c r="D46" s="22"/>
      <c r="E46" s="20" t="s">
        <v>284</v>
      </c>
      <c r="F46" s="21"/>
      <c r="G46" s="21"/>
    </row>
    <row r="47" spans="1:7" ht="16.5" customHeight="1" thickBot="1" x14ac:dyDescent="0.35">
      <c r="A47" s="23" t="s">
        <v>285</v>
      </c>
      <c r="B47" s="24"/>
      <c r="C47" s="24"/>
      <c r="D47" s="25"/>
      <c r="E47" s="23" t="s">
        <v>285</v>
      </c>
      <c r="F47" s="24"/>
      <c r="G47" s="24"/>
    </row>
  </sheetData>
  <mergeCells count="63">
    <mergeCell ref="E26:G26"/>
    <mergeCell ref="E27:G27"/>
    <mergeCell ref="E28:G28"/>
    <mergeCell ref="E19:F19"/>
    <mergeCell ref="E20:G20"/>
    <mergeCell ref="E21:G21"/>
    <mergeCell ref="E22:G22"/>
    <mergeCell ref="E23:G23"/>
    <mergeCell ref="E24:G24"/>
    <mergeCell ref="E25:G25"/>
    <mergeCell ref="A26:D26"/>
    <mergeCell ref="A27:D27"/>
    <mergeCell ref="A28:D28"/>
    <mergeCell ref="A19:B19"/>
    <mergeCell ref="C19:D19"/>
    <mergeCell ref="A20:D20"/>
    <mergeCell ref="A21:D21"/>
    <mergeCell ref="A22:D22"/>
    <mergeCell ref="A23:D23"/>
    <mergeCell ref="A24:D24"/>
    <mergeCell ref="A25:D25"/>
    <mergeCell ref="E12:G12"/>
    <mergeCell ref="E3:F3"/>
    <mergeCell ref="E4:G4"/>
    <mergeCell ref="E5:G5"/>
    <mergeCell ref="E6:G6"/>
    <mergeCell ref="E7:G7"/>
    <mergeCell ref="E8:G8"/>
    <mergeCell ref="E9:G9"/>
    <mergeCell ref="E10:G10"/>
    <mergeCell ref="E11:G11"/>
    <mergeCell ref="A10:D10"/>
    <mergeCell ref="A11:D11"/>
    <mergeCell ref="A12:D12"/>
    <mergeCell ref="C3:D3"/>
    <mergeCell ref="A3:B3"/>
    <mergeCell ref="A4:D4"/>
    <mergeCell ref="A5:D5"/>
    <mergeCell ref="A6:D6"/>
    <mergeCell ref="A7:D7"/>
    <mergeCell ref="A8:D8"/>
    <mergeCell ref="A9:D9"/>
    <mergeCell ref="A35:B35"/>
    <mergeCell ref="C35:D35"/>
    <mergeCell ref="E35:F35"/>
    <mergeCell ref="A36:D36"/>
    <mergeCell ref="E36:G36"/>
    <mergeCell ref="A37:D37"/>
    <mergeCell ref="E37:G37"/>
    <mergeCell ref="A38:D38"/>
    <mergeCell ref="E38:G38"/>
    <mergeCell ref="A39:D39"/>
    <mergeCell ref="E39:G39"/>
    <mergeCell ref="A43:D43"/>
    <mergeCell ref="E43:G43"/>
    <mergeCell ref="A44:D44"/>
    <mergeCell ref="E44:G44"/>
    <mergeCell ref="A40:D40"/>
    <mergeCell ref="E40:G40"/>
    <mergeCell ref="A41:D41"/>
    <mergeCell ref="E41:G41"/>
    <mergeCell ref="A42:D42"/>
    <mergeCell ref="E42:G42"/>
  </mergeCells>
  <pageMargins left="0.7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Charts</vt:lpstr>
      </vt:variant>
      <vt:variant>
        <vt:i4>1</vt:i4>
      </vt:variant>
    </vt:vector>
  </HeadingPairs>
  <TitlesOfParts>
    <vt:vector size="25" baseType="lpstr">
      <vt:lpstr>Summery</vt:lpstr>
      <vt:lpstr>15W40(CI-04)Valvoline</vt:lpstr>
      <vt:lpstr>15W40(servo)</vt:lpstr>
      <vt:lpstr>15W40(Delogold)</vt:lpstr>
      <vt:lpstr>DS-10 Oil</vt:lpstr>
      <vt:lpstr>20W-50</vt:lpstr>
      <vt:lpstr>SAE-30</vt:lpstr>
      <vt:lpstr>HD-68 Hy-Oil Caltex</vt:lpstr>
      <vt:lpstr>SERVO-68 HY-OIL</vt:lpstr>
      <vt:lpstr>HD-46 Hy-Oil-Caltex</vt:lpstr>
      <vt:lpstr>HD-46 Hy Oil SERVO</vt:lpstr>
      <vt:lpstr>Power Oil-1888</vt:lpstr>
      <vt:lpstr>MP-90 Gear Oil</vt:lpstr>
      <vt:lpstr>80W90 (Caltex)</vt:lpstr>
      <vt:lpstr>80W90 G-Oil (Servo)</vt:lpstr>
      <vt:lpstr>MP-140 G-Oil</vt:lpstr>
      <vt:lpstr>Grease</vt:lpstr>
      <vt:lpstr>K-Oil</vt:lpstr>
      <vt:lpstr>PETROL</vt:lpstr>
      <vt:lpstr>HUB GREASE</vt:lpstr>
      <vt:lpstr>cotten waste</vt:lpstr>
      <vt:lpstr>Sheet1</vt:lpstr>
      <vt:lpstr>Sheet2</vt:lpstr>
      <vt:lpstr>Sheet3</vt:lpstr>
      <vt:lpstr>Chart1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COSTING</dc:creator>
  <cp:lastModifiedBy>user</cp:lastModifiedBy>
  <cp:lastPrinted>2026-05-23T14:33:27Z</cp:lastPrinted>
  <dcterms:created xsi:type="dcterms:W3CDTF">2026-01-06T13:25:24Z</dcterms:created>
  <dcterms:modified xsi:type="dcterms:W3CDTF">2026-06-08T10:02:25Z</dcterms:modified>
</cp:coreProperties>
</file>